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Info" sheetId="1" state="visible" r:id="rId1"/>
    <sheet name="Stage" sheetId="2" state="visible" r:id="rId2"/>
    <sheet name="Monster" sheetId="3" state="visible" r:id="rId3"/>
    <sheet name="Character" sheetId="4" state="visible" r:id="rId4"/>
    <sheet name="Story" sheetId="5" state="visible" r:id="rId5"/>
    <sheet name="Constellation" sheetId="6" state="visible" r:id="rId6"/>
    <sheet name="Balance" sheetId="7" state="visible" r:id="rId7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8">
    <font>
      <name val="맑은 고딕"/>
      <family val="2"/>
      <color theme="1"/>
      <sz val="11"/>
      <scheme val="minor"/>
    </font>
    <font>
      <name val="맑은 고딕"/>
      <charset val="129"/>
      <family val="3"/>
      <b val="1"/>
      <sz val="16"/>
    </font>
    <font>
      <name val="맑은 고딕"/>
      <charset val="129"/>
      <family val="3"/>
      <i val="1"/>
      <color rgb="FF808080"/>
      <sz val="10"/>
    </font>
    <font>
      <name val="맑은 고딕"/>
      <charset val="129"/>
      <family val="3"/>
      <b val="1"/>
      <sz val="11"/>
    </font>
    <font>
      <name val="맑은 고딕"/>
      <charset val="129"/>
      <family val="3"/>
      <sz val="10"/>
    </font>
    <font>
      <name val="맑은 고딕"/>
      <charset val="129"/>
      <family val="3"/>
      <b val="1"/>
      <color rgb="FFFFFFFF"/>
      <sz val="12"/>
    </font>
    <font>
      <name val="Consolas"/>
      <sz val="10"/>
    </font>
    <font>
      <name val="맑은 고딕"/>
      <charset val="129"/>
      <family val="3"/>
      <sz val="8"/>
      <scheme val="minor"/>
    </font>
  </fonts>
  <fills count="7">
    <fill>
      <patternFill/>
    </fill>
    <fill>
      <patternFill patternType="gray125"/>
    </fill>
    <fill>
      <patternFill patternType="solid">
        <fgColor rgb="FFF2F2F2"/>
      </patternFill>
    </fill>
    <fill>
      <patternFill patternType="solid">
        <fgColor rgb="FFFFF2CC"/>
      </patternFill>
    </fill>
    <fill>
      <patternFill patternType="solid">
        <fgColor rgb="FF4472C4"/>
      </patternFill>
    </fill>
    <fill>
      <patternFill patternType="solid">
        <fgColor rgb="FFD9E1F2"/>
      </patternFill>
    </fill>
    <fill>
      <patternFill patternType="solid">
        <fgColor rgb="FFE2EFDA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0" fillId="2" borderId="0" pivotButton="0" quotePrefix="0" xfId="0"/>
    <xf numFmtId="0" fontId="4" fillId="0" borderId="0" pivotButton="0" quotePrefix="0" xfId="0"/>
    <xf numFmtId="0" fontId="4" fillId="0" borderId="0" applyAlignment="1" pivotButton="0" quotePrefix="0" xfId="0">
      <alignment vertical="top" wrapText="1"/>
    </xf>
    <xf numFmtId="0" fontId="5" fillId="4" borderId="1" pivotButton="0" quotePrefix="0" xfId="0"/>
    <xf numFmtId="0" fontId="3" fillId="0" borderId="1" pivotButton="0" quotePrefix="0" xfId="0"/>
    <xf numFmtId="0" fontId="6" fillId="0" borderId="1" pivotButton="0" quotePrefix="0" xfId="0"/>
    <xf numFmtId="0" fontId="4" fillId="0" borderId="1" applyAlignment="1" pivotButton="0" quotePrefix="0" xfId="0">
      <alignment vertical="top" wrapText="1"/>
    </xf>
    <xf numFmtId="0" fontId="3" fillId="5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/>
    </xf>
    <xf numFmtId="0" fontId="4" fillId="0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  <xf numFmtId="0" fontId="4" fillId="3" borderId="0" pivotButton="0" quotePrefix="0" xfId="0"/>
    <xf numFmtId="0" fontId="0" fillId="0" borderId="0" pivotButton="0" quotePrefix="0" xfId="0"/>
    <xf numFmtId="0" fontId="2" fillId="0" borderId="0" pivotButton="0" quotePrefix="0" xfId="0"/>
  </cellXfs>
  <cellStyles count="1">
    <cellStyle name="표준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D43"/>
  <sheetViews>
    <sheetView showGridLines="0" tabSelected="1" topLeftCell="A16" workbookViewId="0">
      <selection activeCell="A1" sqref="A1"/>
    </sheetView>
  </sheetViews>
  <sheetFormatPr baseColWidth="8" defaultRowHeight="16.5"/>
  <cols>
    <col width="3" customWidth="1" style="16" min="1" max="1"/>
    <col width="26" customWidth="1" style="16" min="2" max="2"/>
    <col width="30" customWidth="1" style="16" min="3" max="3"/>
    <col width="62" customWidth="1" style="16" min="4" max="4"/>
  </cols>
  <sheetData>
    <row r="1" ht="26.25" customHeight="1" s="16">
      <c r="B1" s="1" t="inlineStr">
        <is>
          <t>내일할래 — 밸런스 데이터 테이블</t>
        </is>
      </c>
    </row>
    <row r="2">
      <c r="B2" s="17" t="inlineStr">
        <is>
          <t>이 파일에서 수치를 고치고 CSV로 내보내면 게임에 바로 반영됩니다.</t>
        </is>
      </c>
    </row>
    <row r="4">
      <c r="B4" s="3" t="inlineStr">
        <is>
          <t>■ 사용법 (3단계)</t>
        </is>
      </c>
      <c r="C4" s="4" t="n"/>
      <c r="D4" s="4" t="n"/>
    </row>
    <row r="5">
      <c r="B5" s="5" t="inlineStr">
        <is>
          <t>1단계</t>
        </is>
      </c>
      <c r="C5" s="5" t="inlineStr">
        <is>
          <t>이 파일에서 수정</t>
        </is>
      </c>
      <c r="D5" s="6" t="inlineStr">
        <is>
          <t>각 시트에서 숫자만 고칩니다. 한글 제목 줄과 영문 키 줄은 건드리지 마세요.</t>
        </is>
      </c>
    </row>
    <row r="6" ht="40.5" customHeight="1" s="16">
      <c r="B6" s="5" t="inlineStr">
        <is>
          <t>2단계</t>
        </is>
      </c>
      <c r="C6" s="5" t="inlineStr">
        <is>
          <t>CSV로 내보내기</t>
        </is>
      </c>
      <c r="D6" s="6" t="inlineStr">
        <is>
          <t>시트를 열고 [파일 → 다른 이름으로 저장] → 형식은 반드시 'CSV UTF-8(쉼표로 분리)(*.csv)' 를 고르세요. 그냥 'CSV(쉼표로 분리)' 로 저장하면 한글이 깨집니다(게임 동작엔 지장 없지만 표가 읽기 어려워집니다).</t>
        </is>
      </c>
    </row>
    <row r="7">
      <c r="B7" s="5" t="n"/>
      <c r="C7" s="5" t="inlineStr">
        <is>
          <t>저장 위치</t>
        </is>
      </c>
      <c r="D7" s="6" t="inlineStr">
        <is>
          <t>Assets\Resources\Data\  (파일명은 아래 표의 CSV 이름과 정확히 동일하게)</t>
        </is>
      </c>
    </row>
    <row r="8">
      <c r="B8" s="5" t="inlineStr">
        <is>
          <t>3단계</t>
        </is>
      </c>
      <c r="C8" s="5" t="inlineStr">
        <is>
          <t>Unity에서 Play</t>
        </is>
      </c>
      <c r="D8" s="6" t="inlineStr">
        <is>
          <t>Play 버튼을 누르면 새 수치가 적용됩니다. 코드나 인스펙터를 고칠 필요 없습니다.</t>
        </is>
      </c>
    </row>
    <row r="10">
      <c r="B10" s="15" t="inlineStr">
        <is>
          <t>⚠ 엑셀은 '현재 열려 있는 시트 1개'만 CSV로 저장합니다. 시트를 4개 모두 반영하려면 시트마다 따로 저장해야 합니다.</t>
        </is>
      </c>
    </row>
    <row r="12">
      <c r="B12" s="3" t="inlineStr">
        <is>
          <t>■ 시트 구성</t>
        </is>
      </c>
      <c r="C12" s="4" t="n"/>
      <c r="D12" s="4" t="n"/>
    </row>
    <row r="13" ht="17.25" customHeight="1" s="16">
      <c r="B13" s="7" t="inlineStr">
        <is>
          <t>시트</t>
        </is>
      </c>
      <c r="C13" s="7" t="inlineStr">
        <is>
          <t>내보낼 CSV 파일</t>
        </is>
      </c>
      <c r="D13" s="7" t="inlineStr">
        <is>
          <t>내용</t>
        </is>
      </c>
    </row>
    <row r="14">
      <c r="B14" s="8" t="inlineStr">
        <is>
          <t>Stage</t>
        </is>
      </c>
      <c r="C14" s="9" t="inlineStr">
        <is>
          <t>Stage.csv</t>
        </is>
      </c>
      <c r="D14" s="10" t="inlineStr">
        <is>
          <t>스테이지별 보스 체력 / 보스 처치 보상</t>
        </is>
      </c>
    </row>
    <row r="15">
      <c r="B15" s="8" t="inlineStr">
        <is>
          <t>Monster</t>
        </is>
      </c>
      <c r="C15" s="9" t="inlineStr">
        <is>
          <t>Monster.csv</t>
        </is>
      </c>
      <c r="D15" s="10" t="inlineStr">
        <is>
          <t>스테이지별 일반 몬스터 종류마다의 체력 / 처치 보상</t>
        </is>
      </c>
    </row>
    <row r="16">
      <c r="B16" s="8" t="inlineStr">
        <is>
          <t>Character</t>
        </is>
      </c>
      <c r="C16" s="9" t="inlineStr">
        <is>
          <t>Character.csv</t>
        </is>
      </c>
      <c r="D16" s="10" t="inlineStr">
        <is>
          <t>캐릭터 해금 비용, 터치(클릭) 공격력, 레벨업 비용</t>
        </is>
      </c>
    </row>
    <row r="17">
      <c r="B17" s="8" t="inlineStr">
        <is>
          <t>Story</t>
        </is>
      </c>
      <c r="C17" s="9" t="inlineStr">
        <is>
          <t>Story.csv</t>
        </is>
      </c>
      <c r="D17" s="10" t="inlineStr">
        <is>
          <t>캐릭터 이야기 구매 비용, 필요 레벨, 달 자동공격 영구 강화량</t>
        </is>
      </c>
    </row>
    <row r="18">
      <c r="B18" s="8" t="inlineStr">
        <is>
          <t>Constellation</t>
        </is>
      </c>
      <c r="C18" s="9" t="inlineStr">
        <is>
          <t>Constellation.csv</t>
        </is>
      </c>
      <c r="D18" s="10" t="inlineStr">
        <is>
          <t>별자리 구성 별 개수, 해금 스테이지, 별 구매 비용, 완성 효과</t>
        </is>
      </c>
    </row>
    <row r="19">
      <c r="B19" s="8" t="inlineStr">
        <is>
          <t>Balance</t>
        </is>
      </c>
      <c r="C19" s="9" t="inlineStr">
        <is>
          <t>Balance.csv</t>
        </is>
      </c>
      <c r="D19" s="10" t="inlineStr">
        <is>
          <t>달 자동공격 기본 데미지·주기, 보스전 제한시간, 보스 도전 조건</t>
        </is>
      </c>
    </row>
    <row r="21">
      <c r="B21" s="3" t="inlineStr">
        <is>
          <t>■ 게임에서 쓰는 계산식</t>
        </is>
      </c>
      <c r="C21" s="4" t="n"/>
      <c r="D21" s="4" t="n"/>
    </row>
    <row r="22">
      <c r="B22" s="5" t="inlineStr">
        <is>
          <t>터치(클릭) 데미지</t>
        </is>
      </c>
      <c r="C22" s="5" t="inlineStr">
        <is>
          <t>캐릭터 1명</t>
        </is>
      </c>
      <c r="D22" s="6" t="inlineStr">
        <is>
          <t>기본 데미지 + (레벨 − 1) × 레벨당 데미지 증가</t>
        </is>
      </c>
    </row>
    <row r="23">
      <c r="B23" s="5" t="n"/>
      <c r="C23" s="5" t="inlineStr">
        <is>
          <t>실제 클릭 데미지</t>
        </is>
      </c>
      <c r="D23" s="6" t="inlineStr">
        <is>
          <t>해금된 모든 캐릭터의 위 값을 전부 더한 합계 (최소 1)</t>
        </is>
      </c>
    </row>
    <row r="24">
      <c r="B24" s="5" t="inlineStr">
        <is>
          <t>레벨업 비용</t>
        </is>
      </c>
      <c r="C24" s="5" t="inlineStr">
        <is>
          <t>레벨 L → L+1</t>
        </is>
      </c>
      <c r="D24" s="6" t="inlineStr">
        <is>
          <t>레벨업 기본 비용 + (L − 1) × 레벨업 비용 증가</t>
        </is>
      </c>
    </row>
    <row r="25">
      <c r="B25" s="5" t="inlineStr">
        <is>
          <t>달 자동공격</t>
        </is>
      </c>
      <c r="C25" s="5" t="inlineStr">
        <is>
          <t>실제 데미지</t>
        </is>
      </c>
      <c r="D25" s="6" t="inlineStr">
        <is>
          <t>moonDamage + 구매한 이야기들의 '달 데미지 증가' 합계</t>
        </is>
      </c>
    </row>
    <row r="26">
      <c r="B26" s="5" t="n"/>
      <c r="C26" s="5" t="inlineStr">
        <is>
          <t>실제 주기</t>
        </is>
      </c>
      <c r="D26" s="6" t="inlineStr">
        <is>
          <t>moonInterval − 구매한 이야기들의 '달 주기 감소' 합계 (아무리 줄여도 최소 0.1초)</t>
        </is>
      </c>
    </row>
    <row r="27" ht="27" customHeight="1" s="16">
      <c r="B27" s="5" t="inlineStr">
        <is>
          <t>이야기 해금</t>
        </is>
      </c>
      <c r="C27" s="5" t="n"/>
      <c r="D27" s="6" t="inlineStr">
        <is>
          <t>그 이야기의 '캐릭터 번호'에 해당하는 캐릭터가 '필요 레벨' 이상이면 열림. 열린 뒤 꿈코인으로 구매하면 달이 영구 강화됨</t>
        </is>
      </c>
    </row>
    <row r="28">
      <c r="B28" s="5" t="inlineStr">
        <is>
          <t>보스 도전 조건</t>
        </is>
      </c>
      <c r="C28" s="5" t="n"/>
      <c r="D28" s="6" t="inlineStr">
        <is>
          <t>일반 몬스터를 killsRequired 마리 처치하면 보스 버튼이 열림</t>
        </is>
      </c>
    </row>
    <row r="29">
      <c r="B29" s="5" t="inlineStr">
        <is>
          <t>보스전 제한시간</t>
        </is>
      </c>
      <c r="C29" s="5" t="n"/>
      <c r="D29" s="6" t="inlineStr">
        <is>
          <t>bossDuration 초 안에 보스를 처치해야 다음 스테이지로 이동</t>
        </is>
      </c>
    </row>
    <row r="30">
      <c r="B30" s="5" t="inlineStr">
        <is>
          <t>별자리 해금</t>
        </is>
      </c>
      <c r="C30" s="5" t="n"/>
      <c r="D30" s="6" t="inlineStr">
        <is>
          <t>현재 스테이지가 '해금 스테이지' 이상이면 그 별자리의 별을 살 수 있음</t>
        </is>
      </c>
    </row>
    <row r="31">
      <c r="B31" s="5" t="inlineStr">
        <is>
          <t>별 구매 비용</t>
        </is>
      </c>
      <c r="C31" s="5" t="inlineStr">
        <is>
          <t>n번째 별</t>
        </is>
      </c>
      <c r="D31" s="6" t="inlineStr">
        <is>
          <t>별 첫 구매 비용 + (이미 산 별 개수) × 별 비용 증가</t>
        </is>
      </c>
    </row>
    <row r="32">
      <c r="B32" s="5" t="inlineStr">
        <is>
          <t>별자리 완성</t>
        </is>
      </c>
      <c r="C32" s="5" t="n"/>
      <c r="D32" s="6" t="inlineStr">
        <is>
          <t>구성 별을 전부 사면 완성 → 효과 발동 + 배경에 별자리 리소스 배치</t>
        </is>
      </c>
    </row>
    <row r="33" ht="27" customHeight="1" s="16">
      <c r="B33" s="5" t="inlineStr">
        <is>
          <t>별자리 효과 종류</t>
        </is>
      </c>
      <c r="C33" s="5" t="inlineStr">
        <is>
          <t>effectType</t>
        </is>
      </c>
      <c r="D33" s="6" t="inlineStr">
        <is>
          <t>0 = 클릭 데미지 +수치 / 1 = 달 데미지 +수치 / 2 = 달 주기 −수치(초) / 3 = 꿈코인 획득 +수치(0.2 = +20%)</t>
        </is>
      </c>
    </row>
    <row r="35">
      <c r="B35" s="17" t="inlineStr">
        <is>
          <t>Character 시트의 [참고] 컬럼은 위 계산식을 미리 계산해 보여주는 것으로, 게임은 이 값을 읽지 않습니다.</t>
        </is>
      </c>
    </row>
    <row r="37">
      <c r="B37" s="3" t="inlineStr">
        <is>
          <t>■ 규칙 (지키지 않으면 반영되지 않습니다)</t>
        </is>
      </c>
      <c r="C37" s="4" t="n"/>
      <c r="D37" s="4" t="n"/>
    </row>
    <row r="38" ht="27" customHeight="1" s="16">
      <c r="B38" s="5" t="inlineStr">
        <is>
          <t>2행 = 영문 키</t>
        </is>
      </c>
      <c r="C38" s="5" t="inlineStr">
        <is>
          <t>★ 절대 건드리지 마세요</t>
        </is>
      </c>
      <c r="D38" s="6" t="inlineStr">
        <is>
          <t>게임은 'stage / index / key' 같은 영문 이름이 있는 줄을 찾아 헤더로 씁니다. 이 줄을 바꾸거나 지우면 그 표 전체가 반영되지 않습니다.</t>
        </is>
      </c>
    </row>
    <row r="39" ht="27" customHeight="1" s="16">
      <c r="B39" s="5" t="inlineStr">
        <is>
          <t>1행 = 한글 제목</t>
        </is>
      </c>
      <c r="C39" s="5" t="inlineStr">
        <is>
          <t>게임이 무시함</t>
        </is>
      </c>
      <c r="D39" s="6" t="inlineStr">
        <is>
          <t>영문 키 줄보다 위에 있는 줄은 몇 줄이든 전부 무시됩니다. 제목을 자유롭게 고치거나 설명 줄을 더 넣어도 안전합니다.</t>
        </is>
      </c>
    </row>
    <row r="40">
      <c r="B40" s="5" t="inlineStr">
        <is>
          <t>3행부터 = 데이터</t>
        </is>
      </c>
      <c r="C40" s="5" t="inlineStr">
        <is>
          <t>게임이 읽음</t>
        </is>
      </c>
      <c r="D40" s="6" t="inlineStr">
        <is>
          <t>여기 숫자를 고치면 됩니다.</t>
        </is>
      </c>
    </row>
    <row r="41">
      <c r="B41" s="5" t="inlineStr">
        <is>
          <t>이미지·이름</t>
        </is>
      </c>
      <c r="C41" s="5" t="inlineStr">
        <is>
          <t>Unity 인스펙터</t>
        </is>
      </c>
      <c r="D41" s="6" t="inlineStr">
        <is>
          <t>스프라이트, 스테이지 이름, 캐릭터 이름은 이 표가 아니라 Unity에서 관리합니다.</t>
        </is>
      </c>
    </row>
    <row r="42" ht="27" customHeight="1" s="16">
      <c r="B42" s="5" t="inlineStr">
        <is>
          <t>없는 항목</t>
        </is>
      </c>
      <c r="C42" s="5" t="inlineStr">
        <is>
          <t>무시됨</t>
        </is>
      </c>
      <c r="D42" s="6" t="inlineStr">
        <is>
          <t>Unity 인스펙터에 없는 stage/index/캐릭터 번호를 적으면 경고만 남기고 건너뜁니다.</t>
        </is>
      </c>
    </row>
    <row r="43">
      <c r="B43" s="5" t="inlineStr">
        <is>
          <t>컬럼 추가</t>
        </is>
      </c>
      <c r="C43" s="5" t="inlineStr">
        <is>
          <t>자유</t>
        </is>
      </c>
      <c r="D43" s="6" t="inlineStr">
        <is>
          <t>게임이 모르는 컬럼(메모 등)은 그냥 무시하니 마음껏 추가해도 됩니다.</t>
        </is>
      </c>
    </row>
  </sheetData>
  <mergeCells count="2">
    <mergeCell ref="B10:D10"/>
    <mergeCell ref="B35:D3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6.5"/>
  <cols>
    <col width="20" customWidth="1" style="16" min="1" max="3"/>
  </cols>
  <sheetData>
    <row r="1" ht="30" customHeight="1" s="16">
      <c r="A1" s="11" t="inlineStr">
        <is>
          <t>#스테이지 번호</t>
        </is>
      </c>
      <c r="B1" s="11" t="inlineStr">
        <is>
          <t>보스 체력</t>
        </is>
      </c>
      <c r="C1" s="11" t="inlineStr">
        <is>
          <t>보스 처치 보상(꿈코인)</t>
        </is>
      </c>
    </row>
    <row r="2" ht="17.25" customHeight="1" s="16">
      <c r="A2" s="12" t="inlineStr">
        <is>
          <t>stage</t>
        </is>
      </c>
      <c r="B2" s="12" t="inlineStr">
        <is>
          <t>bossHp</t>
        </is>
      </c>
      <c r="C2" s="12" t="inlineStr">
        <is>
          <t>bossCoinReward</t>
        </is>
      </c>
    </row>
    <row r="3">
      <c r="A3" s="13" t="n">
        <v>0</v>
      </c>
      <c r="B3" s="13" t="n">
        <v>1788</v>
      </c>
      <c r="C3" s="13" t="n">
        <v>50</v>
      </c>
    </row>
    <row r="4">
      <c r="A4" s="13" t="n">
        <v>1</v>
      </c>
      <c r="B4" s="13" t="n">
        <v>3895</v>
      </c>
      <c r="C4" s="13" t="n">
        <v>100</v>
      </c>
    </row>
    <row r="5">
      <c r="A5" s="13" t="n">
        <v>2</v>
      </c>
      <c r="B5" s="13" t="n">
        <v>6868</v>
      </c>
      <c r="C5" s="13" t="n">
        <v>200</v>
      </c>
    </row>
    <row r="6">
      <c r="A6" s="13" t="n">
        <v>3</v>
      </c>
      <c r="B6" s="13" t="n">
        <v>11433</v>
      </c>
      <c r="C6" s="13" t="n">
        <v>350</v>
      </c>
    </row>
    <row r="7">
      <c r="A7" s="13" t="n">
        <v>4</v>
      </c>
      <c r="B7" s="13" t="n">
        <v>23203</v>
      </c>
      <c r="C7" s="13" t="n">
        <v>700</v>
      </c>
    </row>
    <row r="8">
      <c r="A8" s="13" t="n">
        <v>5</v>
      </c>
      <c r="B8" s="13" t="n">
        <v>61077</v>
      </c>
      <c r="C8" s="13" t="n">
        <v>1250</v>
      </c>
    </row>
    <row r="9">
      <c r="A9" s="13" t="n">
        <v>6</v>
      </c>
      <c r="B9" s="13" t="n">
        <v>183355</v>
      </c>
      <c r="C9" s="13" t="n">
        <v>3150</v>
      </c>
    </row>
    <row r="10">
      <c r="A10" s="13" t="n">
        <v>7</v>
      </c>
      <c r="B10" s="13" t="n">
        <v>666561</v>
      </c>
      <c r="C10" s="13" t="n">
        <v>8250</v>
      </c>
    </row>
    <row r="11">
      <c r="A11" s="13" t="n">
        <v>8</v>
      </c>
      <c r="B11" s="13" t="n">
        <v>1342246</v>
      </c>
      <c r="C11" s="13" t="n">
        <v>22100</v>
      </c>
    </row>
    <row r="12">
      <c r="A12" s="13" t="n">
        <v>9</v>
      </c>
      <c r="B12" s="13" t="n">
        <v>3131890</v>
      </c>
      <c r="C12" s="13" t="n">
        <v>47600</v>
      </c>
    </row>
    <row r="13">
      <c r="A13" s="13" t="n">
        <v>10</v>
      </c>
      <c r="B13" s="13" t="n">
        <v>3881646</v>
      </c>
      <c r="C13" s="13" t="n">
        <v>89000</v>
      </c>
    </row>
    <row r="14">
      <c r="A14" s="13" t="n">
        <v>11</v>
      </c>
      <c r="B14" s="13" t="n">
        <v>5147446</v>
      </c>
      <c r="C14" s="13" t="n">
        <v>178700</v>
      </c>
    </row>
    <row r="15">
      <c r="A15" s="13" t="n">
        <v>12</v>
      </c>
      <c r="B15" s="13" t="n">
        <v>4446739</v>
      </c>
      <c r="C15" s="13" t="n">
        <v>250450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1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6.5"/>
  <cols>
    <col width="20" customWidth="1" style="16" min="1" max="4"/>
  </cols>
  <sheetData>
    <row r="1" ht="30" customHeight="1" s="16">
      <c r="A1" s="11" t="inlineStr">
        <is>
          <t>#스테이지 번호</t>
        </is>
      </c>
      <c r="B1" s="11" t="inlineStr">
        <is>
          <t>몬스터 순번</t>
        </is>
      </c>
      <c r="C1" s="11" t="inlineStr">
        <is>
          <t>몬스터 체력</t>
        </is>
      </c>
      <c r="D1" s="11" t="inlineStr">
        <is>
          <t>처치 보상(꿈코인)</t>
        </is>
      </c>
    </row>
    <row r="2" ht="17.25" customHeight="1" s="16">
      <c r="A2" s="12" t="inlineStr">
        <is>
          <t>stage</t>
        </is>
      </c>
      <c r="B2" s="12" t="inlineStr">
        <is>
          <t>index</t>
        </is>
      </c>
      <c r="C2" s="12" t="inlineStr">
        <is>
          <t>hp</t>
        </is>
      </c>
      <c r="D2" s="12" t="inlineStr">
        <is>
          <t>coinReward</t>
        </is>
      </c>
    </row>
    <row r="3">
      <c r="A3" s="13" t="n">
        <v>0</v>
      </c>
      <c r="B3" s="13" t="n">
        <v>0</v>
      </c>
      <c r="C3" s="13" t="n">
        <v>140</v>
      </c>
      <c r="D3" s="13" t="n">
        <v>1</v>
      </c>
    </row>
    <row r="4">
      <c r="A4" s="13" t="n">
        <v>0</v>
      </c>
      <c r="B4" s="13" t="n">
        <v>1</v>
      </c>
      <c r="C4" s="13" t="n">
        <v>165</v>
      </c>
      <c r="D4" s="13" t="n">
        <v>1</v>
      </c>
    </row>
    <row r="5">
      <c r="A5" s="13" t="n">
        <v>0</v>
      </c>
      <c r="B5" s="13" t="n">
        <v>2</v>
      </c>
      <c r="C5" s="13" t="n">
        <v>190</v>
      </c>
      <c r="D5" s="13" t="n">
        <v>1</v>
      </c>
    </row>
    <row r="6">
      <c r="A6" s="13" t="n">
        <v>1</v>
      </c>
      <c r="B6" s="13" t="n">
        <v>0</v>
      </c>
      <c r="C6" s="13" t="n">
        <v>255</v>
      </c>
      <c r="D6" s="13" t="n">
        <v>2</v>
      </c>
    </row>
    <row r="7">
      <c r="A7" s="13" t="n">
        <v>1</v>
      </c>
      <c r="B7" s="13" t="n">
        <v>1</v>
      </c>
      <c r="C7" s="13" t="n">
        <v>300</v>
      </c>
      <c r="D7" s="13" t="n">
        <v>2</v>
      </c>
    </row>
    <row r="8">
      <c r="A8" s="13" t="n">
        <v>1</v>
      </c>
      <c r="B8" s="13" t="n">
        <v>2</v>
      </c>
      <c r="C8" s="13" t="n">
        <v>345</v>
      </c>
      <c r="D8" s="13" t="n">
        <v>2</v>
      </c>
    </row>
    <row r="9">
      <c r="A9" s="13" t="n">
        <v>2</v>
      </c>
      <c r="B9" s="13" t="n">
        <v>0</v>
      </c>
      <c r="C9" s="13" t="n">
        <v>484</v>
      </c>
      <c r="D9" s="13" t="n">
        <v>3</v>
      </c>
    </row>
    <row r="10">
      <c r="A10" s="13" t="n">
        <v>2</v>
      </c>
      <c r="B10" s="13" t="n">
        <v>1</v>
      </c>
      <c r="C10" s="13" t="n">
        <v>570</v>
      </c>
      <c r="D10" s="13" t="n">
        <v>4</v>
      </c>
    </row>
    <row r="11">
      <c r="A11" s="13" t="n">
        <v>2</v>
      </c>
      <c r="B11" s="13" t="n">
        <v>2</v>
      </c>
      <c r="C11" s="13" t="n">
        <v>656</v>
      </c>
      <c r="D11" s="13" t="n">
        <v>5</v>
      </c>
    </row>
    <row r="12">
      <c r="A12" s="13" t="n">
        <v>3</v>
      </c>
      <c r="B12" s="13" t="n">
        <v>0</v>
      </c>
      <c r="C12" s="13" t="n">
        <v>867</v>
      </c>
      <c r="D12" s="13" t="n">
        <v>6</v>
      </c>
    </row>
    <row r="13">
      <c r="A13" s="13" t="n">
        <v>3</v>
      </c>
      <c r="B13" s="13" t="n">
        <v>1</v>
      </c>
      <c r="C13" s="13" t="n">
        <v>1020</v>
      </c>
      <c r="D13" s="13" t="n">
        <v>7</v>
      </c>
    </row>
    <row r="14">
      <c r="A14" s="13" t="n">
        <v>3</v>
      </c>
      <c r="B14" s="13" t="n">
        <v>2</v>
      </c>
      <c r="C14" s="13" t="n">
        <v>1173</v>
      </c>
      <c r="D14" s="13" t="n">
        <v>8</v>
      </c>
    </row>
    <row r="15">
      <c r="A15" s="13" t="n">
        <v>4</v>
      </c>
      <c r="B15" s="13" t="n">
        <v>0</v>
      </c>
      <c r="C15" s="13" t="n">
        <v>1721</v>
      </c>
      <c r="D15" s="13" t="n">
        <v>12</v>
      </c>
    </row>
    <row r="16">
      <c r="A16" s="13" t="n">
        <v>4</v>
      </c>
      <c r="B16" s="13" t="n">
        <v>1</v>
      </c>
      <c r="C16" s="13" t="n">
        <v>2025</v>
      </c>
      <c r="D16" s="13" t="n">
        <v>14</v>
      </c>
    </row>
    <row r="17">
      <c r="A17" s="13" t="n">
        <v>4</v>
      </c>
      <c r="B17" s="13" t="n">
        <v>2</v>
      </c>
      <c r="C17" s="13" t="n">
        <v>2329</v>
      </c>
      <c r="D17" s="13" t="n">
        <v>16</v>
      </c>
    </row>
    <row r="18">
      <c r="A18" s="13" t="n">
        <v>5</v>
      </c>
      <c r="B18" s="13" t="n">
        <v>0</v>
      </c>
      <c r="C18" s="13" t="n">
        <v>3022</v>
      </c>
      <c r="D18" s="13" t="n">
        <v>21</v>
      </c>
    </row>
    <row r="19">
      <c r="A19" s="13" t="n">
        <v>5</v>
      </c>
      <c r="B19" s="13" t="n">
        <v>1</v>
      </c>
      <c r="C19" s="13" t="n">
        <v>3555</v>
      </c>
      <c r="D19" s="13" t="n">
        <v>25</v>
      </c>
    </row>
    <row r="20">
      <c r="A20" s="13" t="n">
        <v>5</v>
      </c>
      <c r="B20" s="13" t="n">
        <v>2</v>
      </c>
      <c r="C20" s="13" t="n">
        <v>4088</v>
      </c>
      <c r="D20" s="13" t="n">
        <v>29</v>
      </c>
    </row>
    <row r="21">
      <c r="A21" s="13" t="n">
        <v>6</v>
      </c>
      <c r="B21" s="13" t="n">
        <v>0</v>
      </c>
      <c r="C21" s="13" t="n">
        <v>7688</v>
      </c>
      <c r="D21" s="13" t="n">
        <v>54</v>
      </c>
    </row>
    <row r="22">
      <c r="A22" s="13" t="n">
        <v>6</v>
      </c>
      <c r="B22" s="13" t="n">
        <v>1</v>
      </c>
      <c r="C22" s="13" t="n">
        <v>9045</v>
      </c>
      <c r="D22" s="13" t="n">
        <v>63</v>
      </c>
    </row>
    <row r="23">
      <c r="A23" s="13" t="n">
        <v>6</v>
      </c>
      <c r="B23" s="13" t="n">
        <v>2</v>
      </c>
      <c r="C23" s="13" t="n">
        <v>10402</v>
      </c>
      <c r="D23" s="13" t="n">
        <v>73</v>
      </c>
    </row>
    <row r="24">
      <c r="A24" s="13" t="n">
        <v>7</v>
      </c>
      <c r="B24" s="13" t="n">
        <v>0</v>
      </c>
      <c r="C24" s="13" t="n">
        <v>20094</v>
      </c>
      <c r="D24" s="13" t="n">
        <v>141</v>
      </c>
    </row>
    <row r="25">
      <c r="A25" s="13" t="n">
        <v>7</v>
      </c>
      <c r="B25" s="13" t="n">
        <v>1</v>
      </c>
      <c r="C25" s="13" t="n">
        <v>23640</v>
      </c>
      <c r="D25" s="13" t="n">
        <v>165</v>
      </c>
    </row>
    <row r="26">
      <c r="A26" s="13" t="n">
        <v>7</v>
      </c>
      <c r="B26" s="13" t="n">
        <v>2</v>
      </c>
      <c r="C26" s="13" t="n">
        <v>27186</v>
      </c>
      <c r="D26" s="13" t="n">
        <v>190</v>
      </c>
    </row>
    <row r="27">
      <c r="A27" s="13" t="n">
        <v>8</v>
      </c>
      <c r="B27" s="13" t="n">
        <v>0</v>
      </c>
      <c r="C27" s="13" t="n">
        <v>53716</v>
      </c>
      <c r="D27" s="13" t="n">
        <v>376</v>
      </c>
    </row>
    <row r="28">
      <c r="A28" s="13" t="n">
        <v>8</v>
      </c>
      <c r="B28" s="13" t="n">
        <v>1</v>
      </c>
      <c r="C28" s="13" t="n">
        <v>63195</v>
      </c>
      <c r="D28" s="13" t="n">
        <v>442</v>
      </c>
    </row>
    <row r="29">
      <c r="A29" s="13" t="n">
        <v>8</v>
      </c>
      <c r="B29" s="13" t="n">
        <v>2</v>
      </c>
      <c r="C29" s="13" t="n">
        <v>72674</v>
      </c>
      <c r="D29" s="13" t="n">
        <v>509</v>
      </c>
    </row>
    <row r="30">
      <c r="A30" s="13" t="n">
        <v>9</v>
      </c>
      <c r="B30" s="13" t="n">
        <v>0</v>
      </c>
      <c r="C30" s="13" t="n">
        <v>115606</v>
      </c>
      <c r="D30" s="13" t="n">
        <v>809</v>
      </c>
    </row>
    <row r="31">
      <c r="A31" s="13" t="n">
        <v>9</v>
      </c>
      <c r="B31" s="13" t="n">
        <v>1</v>
      </c>
      <c r="C31" s="13" t="n">
        <v>136007</v>
      </c>
      <c r="D31" s="13" t="n">
        <v>952</v>
      </c>
    </row>
    <row r="32">
      <c r="A32" s="13" t="n">
        <v>9</v>
      </c>
      <c r="B32" s="13" t="n">
        <v>2</v>
      </c>
      <c r="C32" s="13" t="n">
        <v>156408</v>
      </c>
      <c r="D32" s="13" t="n">
        <v>1095</v>
      </c>
    </row>
    <row r="33">
      <c r="A33" s="13" t="n">
        <v>10</v>
      </c>
      <c r="B33" s="13" t="n">
        <v>0</v>
      </c>
      <c r="C33" s="13" t="n">
        <v>216121</v>
      </c>
      <c r="D33" s="13" t="n">
        <v>1513</v>
      </c>
    </row>
    <row r="34">
      <c r="A34" s="13" t="n">
        <v>10</v>
      </c>
      <c r="B34" s="13" t="n">
        <v>1</v>
      </c>
      <c r="C34" s="13" t="n">
        <v>254260</v>
      </c>
      <c r="D34" s="13" t="n">
        <v>1780</v>
      </c>
    </row>
    <row r="35">
      <c r="A35" s="13" t="n">
        <v>10</v>
      </c>
      <c r="B35" s="13" t="n">
        <v>2</v>
      </c>
      <c r="C35" s="13" t="n">
        <v>292399</v>
      </c>
      <c r="D35" s="13" t="n">
        <v>2047</v>
      </c>
    </row>
    <row r="36">
      <c r="A36" s="13" t="n">
        <v>11</v>
      </c>
      <c r="B36" s="13" t="n">
        <v>0</v>
      </c>
      <c r="C36" s="13" t="n">
        <v>433927</v>
      </c>
      <c r="D36" s="13" t="n">
        <v>3037</v>
      </c>
    </row>
    <row r="37">
      <c r="A37" s="13" t="n">
        <v>11</v>
      </c>
      <c r="B37" s="13" t="n">
        <v>1</v>
      </c>
      <c r="C37" s="13" t="n">
        <v>510502</v>
      </c>
      <c r="D37" s="13" t="n">
        <v>3574</v>
      </c>
    </row>
    <row r="38">
      <c r="A38" s="13" t="n">
        <v>11</v>
      </c>
      <c r="B38" s="13" t="n">
        <v>2</v>
      </c>
      <c r="C38" s="13" t="n">
        <v>587077</v>
      </c>
      <c r="D38" s="13" t="n">
        <v>4110</v>
      </c>
    </row>
    <row r="39">
      <c r="A39" s="13" t="n">
        <v>12</v>
      </c>
      <c r="B39" s="13" t="n">
        <v>0</v>
      </c>
      <c r="C39" s="13" t="n">
        <v>608195</v>
      </c>
      <c r="D39" s="13" t="n">
        <v>4257</v>
      </c>
    </row>
    <row r="40">
      <c r="A40" s="13" t="n">
        <v>12</v>
      </c>
      <c r="B40" s="13" t="n">
        <v>1</v>
      </c>
      <c r="C40" s="13" t="n">
        <v>715524</v>
      </c>
      <c r="D40" s="13" t="n">
        <v>5009</v>
      </c>
    </row>
    <row r="41">
      <c r="A41" s="13" t="n">
        <v>12</v>
      </c>
      <c r="B41" s="13" t="n">
        <v>2</v>
      </c>
      <c r="C41" s="13" t="n">
        <v>822853</v>
      </c>
      <c r="D41" s="13" t="n">
        <v>5760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0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6.5"/>
  <cols>
    <col width="20" customWidth="1" style="16" min="1" max="9"/>
  </cols>
  <sheetData>
    <row r="1" ht="30" customHeight="1" s="16">
      <c r="A1" s="11" t="inlineStr">
        <is>
          <t>#캐릭터 번호</t>
        </is>
      </c>
      <c r="B1" s="11" t="inlineStr">
        <is>
          <t>해금 비용(꿈코인)</t>
        </is>
      </c>
      <c r="C1" s="11" t="inlineStr">
        <is>
          <t>기본 데미지(LV1)</t>
        </is>
      </c>
      <c r="D1" s="11" t="inlineStr">
        <is>
          <t>레벨당 데미지 증가</t>
        </is>
      </c>
      <c r="E1" s="11" t="inlineStr">
        <is>
          <t>최대 레벨</t>
        </is>
      </c>
      <c r="F1" s="11" t="inlineStr">
        <is>
          <t>레벨업 기본 비용</t>
        </is>
      </c>
      <c r="G1" s="11" t="inlineStr">
        <is>
          <t>레벨업 비용 증가/레벨</t>
        </is>
      </c>
      <c r="H1" s="11" t="inlineStr">
        <is>
          <t>[참고] 최대레벨 데미지</t>
        </is>
      </c>
      <c r="I1" s="11" t="inlineStr">
        <is>
          <t>[참고] 만렙까지 총 강화비용</t>
        </is>
      </c>
    </row>
    <row r="2" ht="17.25" customHeight="1" s="16">
      <c r="A2" s="12" t="inlineStr">
        <is>
          <t>index</t>
        </is>
      </c>
      <c r="B2" s="12" t="inlineStr">
        <is>
          <t>unlockCost</t>
        </is>
      </c>
      <c r="C2" s="12" t="inlineStr">
        <is>
          <t>baseDamage</t>
        </is>
      </c>
      <c r="D2" s="12" t="inlineStr">
        <is>
          <t>damagePerLevel</t>
        </is>
      </c>
      <c r="E2" s="12" t="inlineStr">
        <is>
          <t>maxLevel</t>
        </is>
      </c>
      <c r="F2" s="12" t="inlineStr">
        <is>
          <t>levelUpBaseCost</t>
        </is>
      </c>
      <c r="G2" s="12" t="inlineStr">
        <is>
          <t>levelUpCostPerLevel</t>
        </is>
      </c>
      <c r="H2" s="12" t="inlineStr">
        <is>
          <t>previewMaxDamage</t>
        </is>
      </c>
      <c r="I2" s="12" t="inlineStr">
        <is>
          <t>previewTotalCost</t>
        </is>
      </c>
    </row>
    <row r="3">
      <c r="A3" s="13" t="n">
        <v>0</v>
      </c>
      <c r="B3" s="13" t="n">
        <v>0</v>
      </c>
      <c r="C3" s="13" t="n">
        <v>10</v>
      </c>
      <c r="D3" s="13" t="n">
        <v>3</v>
      </c>
      <c r="E3" s="13" t="n">
        <v>200</v>
      </c>
      <c r="F3" s="13" t="n">
        <v>50</v>
      </c>
      <c r="G3" s="13" t="n">
        <v>5</v>
      </c>
      <c r="H3" s="14">
        <f>C3+(E3-1)*D3</f>
        <v/>
      </c>
      <c r="I3" s="14">
        <f>(E3-1)*F3+G3*((E3-2)*(E3-1)/2)</f>
        <v/>
      </c>
    </row>
    <row r="4">
      <c r="A4" s="13" t="n">
        <v>1</v>
      </c>
      <c r="B4" s="13" t="n">
        <v>800</v>
      </c>
      <c r="C4" s="13" t="n">
        <v>16</v>
      </c>
      <c r="D4" s="13" t="n">
        <v>5</v>
      </c>
      <c r="E4" s="13" t="n">
        <v>200</v>
      </c>
      <c r="F4" s="13" t="n">
        <v>80</v>
      </c>
      <c r="G4" s="13" t="n">
        <v>8</v>
      </c>
      <c r="H4" s="14">
        <f>C4+(E4-1)*D4</f>
        <v/>
      </c>
      <c r="I4" s="14">
        <f>(E4-1)*F4+G4*((E4-2)*(E4-1)/2)</f>
        <v/>
      </c>
    </row>
    <row r="5">
      <c r="A5" s="13" t="n">
        <v>2</v>
      </c>
      <c r="B5" s="13" t="n">
        <v>1280</v>
      </c>
      <c r="C5" s="13" t="n">
        <v>26</v>
      </c>
      <c r="D5" s="13" t="n">
        <v>8</v>
      </c>
      <c r="E5" s="13" t="n">
        <v>200</v>
      </c>
      <c r="F5" s="13" t="n">
        <v>128</v>
      </c>
      <c r="G5" s="13" t="n">
        <v>13</v>
      </c>
      <c r="H5" s="14">
        <f>C5+(E5-1)*D5</f>
        <v/>
      </c>
      <c r="I5" s="14">
        <f>(E5-1)*F5+G5*((E5-2)*(E5-1)/2)</f>
        <v/>
      </c>
    </row>
    <row r="6">
      <c r="A6" s="13" t="n">
        <v>3</v>
      </c>
      <c r="B6" s="13" t="n">
        <v>2048</v>
      </c>
      <c r="C6" s="13" t="n">
        <v>41</v>
      </c>
      <c r="D6" s="13" t="n">
        <v>12</v>
      </c>
      <c r="E6" s="13" t="n">
        <v>200</v>
      </c>
      <c r="F6" s="13" t="n">
        <v>205</v>
      </c>
      <c r="G6" s="13" t="n">
        <v>20</v>
      </c>
      <c r="H6">
        <f>C6+(E6-1)*D6</f>
        <v/>
      </c>
      <c r="I6">
        <f>(E6-1)*F6+G6*((E6-2)*(E6-1)/2)</f>
        <v/>
      </c>
    </row>
    <row r="7">
      <c r="A7" s="13" t="n">
        <v>4</v>
      </c>
      <c r="B7" s="13" t="n">
        <v>3277</v>
      </c>
      <c r="C7" s="13" t="n">
        <v>66</v>
      </c>
      <c r="D7" s="13" t="n">
        <v>20</v>
      </c>
      <c r="E7" s="13" t="n">
        <v>200</v>
      </c>
      <c r="F7" s="13" t="n">
        <v>328</v>
      </c>
      <c r="G7" s="13" t="n">
        <v>33</v>
      </c>
      <c r="H7">
        <f>C7+(E7-1)*D7</f>
        <v/>
      </c>
      <c r="I7">
        <f>(E7-1)*F7+G7*((E7-2)*(E7-1)/2)</f>
        <v/>
      </c>
    </row>
    <row r="8">
      <c r="A8" s="13" t="n">
        <v>5</v>
      </c>
      <c r="B8" s="13" t="n">
        <v>5243</v>
      </c>
      <c r="C8" s="13" t="n">
        <v>105</v>
      </c>
      <c r="D8" s="13" t="n">
        <v>31</v>
      </c>
      <c r="E8" s="13" t="n">
        <v>200</v>
      </c>
      <c r="F8" s="13" t="n">
        <v>524</v>
      </c>
      <c r="G8" s="13" t="n">
        <v>52</v>
      </c>
      <c r="H8">
        <f>C8+(E8-1)*D8</f>
        <v/>
      </c>
      <c r="I8">
        <f>(E8-1)*F8+G8*((E8-2)*(E8-1)/2)</f>
        <v/>
      </c>
    </row>
    <row r="9">
      <c r="A9" s="13" t="n">
        <v>6</v>
      </c>
      <c r="B9" s="13" t="n">
        <v>8389</v>
      </c>
      <c r="C9" s="13" t="n">
        <v>168</v>
      </c>
      <c r="D9" s="13" t="n">
        <v>50</v>
      </c>
      <c r="E9" s="13" t="n">
        <v>200</v>
      </c>
      <c r="F9" s="13" t="n">
        <v>839</v>
      </c>
      <c r="G9" s="13" t="n">
        <v>84</v>
      </c>
      <c r="H9">
        <f>C9+(E9-1)*D9</f>
        <v/>
      </c>
      <c r="I9">
        <f>(E9-1)*F9+G9*((E9-2)*(E9-1)/2)</f>
        <v/>
      </c>
    </row>
    <row r="10">
      <c r="A10" s="13" t="n">
        <v>7</v>
      </c>
      <c r="B10" s="13" t="n">
        <v>13422</v>
      </c>
      <c r="C10" s="13" t="n">
        <v>268</v>
      </c>
      <c r="D10" s="13" t="n">
        <v>81</v>
      </c>
      <c r="E10" s="13" t="n">
        <v>200</v>
      </c>
      <c r="F10" s="13" t="n">
        <v>1342</v>
      </c>
      <c r="G10" s="13" t="n">
        <v>134</v>
      </c>
      <c r="H10">
        <f>C10+(E10-1)*D10</f>
        <v/>
      </c>
      <c r="I10">
        <f>(E10-1)*F10+G10*((E10-2)*(E10-1)/2)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0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6.5"/>
  <cols>
    <col width="20" customWidth="1" style="16" min="1" max="6"/>
  </cols>
  <sheetData>
    <row r="1" ht="30" customHeight="1" s="16">
      <c r="A1" s="11" t="inlineStr">
        <is>
          <t>#이야기 번호</t>
        </is>
      </c>
      <c r="B1" s="11" t="inlineStr">
        <is>
          <t>캐릭터 번호</t>
        </is>
      </c>
      <c r="C1" s="11" t="inlineStr">
        <is>
          <t>필요 레벨</t>
        </is>
      </c>
      <c r="D1" s="11" t="inlineStr">
        <is>
          <t>구매 비용(꿈코인)</t>
        </is>
      </c>
      <c r="E1" s="11" t="inlineStr">
        <is>
          <t>달 데미지 증가</t>
        </is>
      </c>
      <c r="F1" s="11" t="inlineStr">
        <is>
          <t>달 주기 감소(초)</t>
        </is>
      </c>
    </row>
    <row r="2" ht="17.25" customHeight="1" s="16">
      <c r="A2" s="12" t="inlineStr">
        <is>
          <t>index</t>
        </is>
      </c>
      <c r="B2" s="12" t="inlineStr">
        <is>
          <t>characterIndex</t>
        </is>
      </c>
      <c r="C2" s="12" t="inlineStr">
        <is>
          <t>requiredLevel</t>
        </is>
      </c>
      <c r="D2" s="12" t="inlineStr">
        <is>
          <t>cost</t>
        </is>
      </c>
      <c r="E2" s="12" t="inlineStr">
        <is>
          <t>moonDamageBonus</t>
        </is>
      </c>
      <c r="F2" s="12" t="inlineStr">
        <is>
          <t>moonIntervalReduction</t>
        </is>
      </c>
    </row>
    <row r="3">
      <c r="A3" s="13" t="n">
        <v>0</v>
      </c>
      <c r="B3" s="13" t="n">
        <v>0</v>
      </c>
      <c r="C3" s="13" t="n">
        <v>10</v>
      </c>
      <c r="D3" s="13" t="n">
        <v>4200</v>
      </c>
      <c r="E3" s="13" t="n">
        <v>300</v>
      </c>
      <c r="F3" s="13" t="n">
        <v>0.06</v>
      </c>
    </row>
    <row r="4">
      <c r="A4" s="13" t="n">
        <v>1</v>
      </c>
      <c r="B4" s="13" t="n">
        <v>1</v>
      </c>
      <c r="C4" s="13" t="n">
        <v>20</v>
      </c>
      <c r="D4" s="13" t="n">
        <v>6720</v>
      </c>
      <c r="E4" s="13" t="n">
        <v>480</v>
      </c>
      <c r="F4" s="13" t="n">
        <v>0.06</v>
      </c>
    </row>
    <row r="5">
      <c r="A5" s="13" t="n">
        <v>2</v>
      </c>
      <c r="B5" s="13" t="n">
        <v>2</v>
      </c>
      <c r="C5" s="13" t="n">
        <v>30</v>
      </c>
      <c r="D5" s="13" t="n">
        <v>10752</v>
      </c>
      <c r="E5" s="13" t="n">
        <v>768</v>
      </c>
      <c r="F5" s="13" t="n">
        <v>0.06</v>
      </c>
    </row>
    <row r="6">
      <c r="A6" s="13" t="n">
        <v>3</v>
      </c>
      <c r="B6" s="13" t="n">
        <v>3</v>
      </c>
      <c r="C6" s="13" t="n">
        <v>40</v>
      </c>
      <c r="D6" s="13" t="n">
        <v>17203</v>
      </c>
      <c r="E6" s="13" t="n">
        <v>1229</v>
      </c>
      <c r="F6" s="13" t="n">
        <v>0.06</v>
      </c>
    </row>
    <row r="7">
      <c r="A7" s="13" t="n">
        <v>4</v>
      </c>
      <c r="B7" s="13" t="n">
        <v>4</v>
      </c>
      <c r="C7" s="13" t="n">
        <v>50</v>
      </c>
      <c r="D7" s="13" t="n">
        <v>27525</v>
      </c>
      <c r="E7" s="13" t="n">
        <v>1966</v>
      </c>
      <c r="F7" s="13" t="n">
        <v>0.06</v>
      </c>
    </row>
    <row r="8">
      <c r="A8" s="13" t="n">
        <v>5</v>
      </c>
      <c r="B8" s="13" t="n">
        <v>5</v>
      </c>
      <c r="C8" s="13" t="n">
        <v>60</v>
      </c>
      <c r="D8" s="13" t="n">
        <v>44040</v>
      </c>
      <c r="E8" s="13" t="n">
        <v>3146</v>
      </c>
      <c r="F8" s="13" t="n">
        <v>0.06</v>
      </c>
    </row>
    <row r="9">
      <c r="A9" s="13" t="n">
        <v>6</v>
      </c>
      <c r="B9" s="13" t="n">
        <v>6</v>
      </c>
      <c r="C9" s="13" t="n">
        <v>70</v>
      </c>
      <c r="D9" s="13" t="n">
        <v>70464</v>
      </c>
      <c r="E9" s="13" t="n">
        <v>5033</v>
      </c>
      <c r="F9" s="13" t="n">
        <v>0.06</v>
      </c>
    </row>
    <row r="10">
      <c r="A10" s="13" t="n">
        <v>7</v>
      </c>
      <c r="B10" s="13" t="n">
        <v>7</v>
      </c>
      <c r="C10" s="13" t="n">
        <v>80</v>
      </c>
      <c r="D10" s="13" t="n">
        <v>112743</v>
      </c>
      <c r="E10" s="13" t="n">
        <v>8053</v>
      </c>
      <c r="F10" s="13" t="n">
        <v>0.06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4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6.5"/>
  <cols>
    <col width="20" customWidth="1" style="16" min="1" max="8"/>
  </cols>
  <sheetData>
    <row r="1" ht="30" customHeight="1" s="16">
      <c r="A1" s="11" t="inlineStr">
        <is>
          <t>#별자리 번호</t>
        </is>
      </c>
      <c r="B1" s="11" t="inlineStr">
        <is>
          <t>구성 별 개수</t>
        </is>
      </c>
      <c r="C1" s="11" t="inlineStr">
        <is>
          <t>해금 스테이지</t>
        </is>
      </c>
      <c r="D1" s="11" t="inlineStr">
        <is>
          <t>별 첫 구매 비용</t>
        </is>
      </c>
      <c r="E1" s="11" t="inlineStr">
        <is>
          <t>별 비용 증가</t>
        </is>
      </c>
      <c r="F1" s="11" t="inlineStr">
        <is>
          <t>효과 종류(0클릭/1달뎀/2달속도/3코인)</t>
        </is>
      </c>
      <c r="G1" s="11" t="inlineStr">
        <is>
          <t>효과 수치</t>
        </is>
      </c>
      <c r="H1" s="11" t="inlineStr">
        <is>
          <t>[참고] 완성까지 총 비용</t>
        </is>
      </c>
    </row>
    <row r="2" ht="17.25" customHeight="1" s="16">
      <c r="A2" s="12" t="inlineStr">
        <is>
          <t>index</t>
        </is>
      </c>
      <c r="B2" s="12" t="inlineStr">
        <is>
          <t>starCount</t>
        </is>
      </c>
      <c r="C2" s="12" t="inlineStr">
        <is>
          <t>unlockStage</t>
        </is>
      </c>
      <c r="D2" s="12" t="inlineStr">
        <is>
          <t>starBaseCost</t>
        </is>
      </c>
      <c r="E2" s="12" t="inlineStr">
        <is>
          <t>starCostIncrease</t>
        </is>
      </c>
      <c r="F2" s="12" t="inlineStr">
        <is>
          <t>effectType</t>
        </is>
      </c>
      <c r="G2" s="12" t="inlineStr">
        <is>
          <t>effectValue</t>
        </is>
      </c>
      <c r="H2" s="12" t="inlineStr">
        <is>
          <t>previewTotalCost</t>
        </is>
      </c>
    </row>
    <row r="3">
      <c r="A3" s="13" t="n">
        <v>0</v>
      </c>
      <c r="B3" s="13" t="n">
        <v>5</v>
      </c>
      <c r="C3" s="13" t="n">
        <v>1</v>
      </c>
      <c r="D3" s="13" t="n">
        <v>50</v>
      </c>
      <c r="E3" s="13" t="n">
        <v>10</v>
      </c>
      <c r="F3" s="13" t="n">
        <v>0</v>
      </c>
      <c r="G3" s="13" t="n">
        <v>2</v>
      </c>
      <c r="H3" s="14">
        <f>B3*D3+E3*((B3-1)*B3/2)</f>
        <v/>
      </c>
    </row>
    <row r="4">
      <c r="A4" s="13" t="n">
        <v>1</v>
      </c>
      <c r="B4" s="13" t="n">
        <v>10</v>
      </c>
      <c r="C4" s="13" t="n">
        <v>2</v>
      </c>
      <c r="D4" s="13" t="n">
        <v>50</v>
      </c>
      <c r="E4" s="13" t="n">
        <v>10</v>
      </c>
      <c r="F4" s="13" t="n">
        <v>3</v>
      </c>
      <c r="G4" s="13" t="n">
        <v>0.1</v>
      </c>
      <c r="H4" s="14">
        <f>B4*D4+E4*((B4-1)*B4/2)</f>
        <v/>
      </c>
    </row>
    <row r="5">
      <c r="A5" s="13" t="n">
        <v>2</v>
      </c>
      <c r="B5" s="13" t="n">
        <v>6</v>
      </c>
      <c r="C5" s="13" t="n">
        <v>3</v>
      </c>
      <c r="D5" s="13" t="n">
        <v>108</v>
      </c>
      <c r="E5" s="13" t="n">
        <v>27</v>
      </c>
      <c r="F5" s="13" t="n">
        <v>1</v>
      </c>
      <c r="G5" s="13" t="n">
        <v>8</v>
      </c>
      <c r="H5" s="14">
        <f>B5*D5+E5*((B5-1)*B5/2)</f>
        <v/>
      </c>
    </row>
    <row r="6">
      <c r="A6" s="13" t="n">
        <v>3</v>
      </c>
      <c r="B6" s="13" t="n">
        <v>4</v>
      </c>
      <c r="C6" s="13" t="n">
        <v>4</v>
      </c>
      <c r="D6" s="13" t="n">
        <v>382</v>
      </c>
      <c r="E6" s="13" t="n">
        <v>95</v>
      </c>
      <c r="F6" s="13" t="n">
        <v>0</v>
      </c>
      <c r="G6" s="13" t="n">
        <v>11</v>
      </c>
      <c r="H6" s="14">
        <f>B6*D6+E6*((B6-1)*B6/2)</f>
        <v/>
      </c>
    </row>
    <row r="7">
      <c r="A7" s="13" t="n">
        <v>4</v>
      </c>
      <c r="B7" s="13" t="n">
        <v>9</v>
      </c>
      <c r="C7" s="13" t="n">
        <v>5</v>
      </c>
      <c r="D7" s="13" t="n">
        <v>208</v>
      </c>
      <c r="E7" s="13" t="n">
        <v>52</v>
      </c>
      <c r="F7" s="13" t="n">
        <v>2</v>
      </c>
      <c r="G7" s="13" t="n">
        <v>0.13</v>
      </c>
      <c r="H7" s="14">
        <f>B7*D7+E7*((B7-1)*B7/2)</f>
        <v/>
      </c>
    </row>
    <row r="8">
      <c r="A8" s="13" t="n">
        <v>5</v>
      </c>
      <c r="B8" s="13" t="n">
        <v>8</v>
      </c>
      <c r="C8" s="13" t="n">
        <v>6</v>
      </c>
      <c r="D8" s="13" t="n">
        <v>630</v>
      </c>
      <c r="E8" s="13" t="n">
        <v>158</v>
      </c>
      <c r="F8" s="13" t="n">
        <v>3</v>
      </c>
      <c r="G8" s="13" t="n">
        <v>0.15</v>
      </c>
      <c r="H8" s="14">
        <f>B8*D8+E8*((B8-1)*B8/2)</f>
        <v/>
      </c>
    </row>
    <row r="9">
      <c r="A9" s="13" t="n">
        <v>6</v>
      </c>
      <c r="B9" s="13" t="n">
        <v>5</v>
      </c>
      <c r="C9" s="13" t="n">
        <v>7</v>
      </c>
      <c r="D9" s="13" t="n">
        <v>3300</v>
      </c>
      <c r="E9" s="13" t="n">
        <v>825</v>
      </c>
      <c r="F9" s="13" t="n">
        <v>1</v>
      </c>
      <c r="G9" s="13" t="n">
        <v>189</v>
      </c>
      <c r="H9" s="14">
        <f>B9*D9+E9*((B9-1)*B9/2)</f>
        <v/>
      </c>
    </row>
    <row r="10">
      <c r="A10" s="13" t="n">
        <v>7</v>
      </c>
      <c r="B10" s="13" t="n">
        <v>9</v>
      </c>
      <c r="C10" s="13" t="n">
        <v>8</v>
      </c>
      <c r="D10" s="13" t="n">
        <v>3683</v>
      </c>
      <c r="E10" s="13" t="n">
        <v>921</v>
      </c>
      <c r="F10" s="13" t="n">
        <v>0</v>
      </c>
      <c r="G10" s="13" t="n">
        <v>337</v>
      </c>
      <c r="H10" s="14">
        <f>B10*D10+E10*((B10-1)*B10/2)</f>
        <v/>
      </c>
    </row>
    <row r="11">
      <c r="A11" s="13" t="n">
        <v>8</v>
      </c>
      <c r="B11" s="13" t="n">
        <v>9</v>
      </c>
      <c r="C11" s="13" t="n">
        <v>9</v>
      </c>
      <c r="D11" s="13" t="n">
        <v>7933</v>
      </c>
      <c r="E11" s="13" t="n">
        <v>1983</v>
      </c>
      <c r="F11" s="13" t="n">
        <v>2</v>
      </c>
      <c r="G11" s="13" t="n">
        <v>0.13</v>
      </c>
      <c r="H11" s="14">
        <f>B11*D11+E11*((B11-1)*B11/2)</f>
        <v/>
      </c>
    </row>
    <row r="12">
      <c r="A12" s="13" t="n">
        <v>9</v>
      </c>
      <c r="B12" s="13" t="n">
        <v>4</v>
      </c>
      <c r="C12" s="13" t="n">
        <v>10</v>
      </c>
      <c r="D12" s="13" t="n">
        <v>48545</v>
      </c>
      <c r="E12" s="13" t="n">
        <v>12136</v>
      </c>
      <c r="F12" s="13" t="n">
        <v>3</v>
      </c>
      <c r="G12" s="13" t="n">
        <v>0.2</v>
      </c>
      <c r="H12" s="14">
        <f>B12*D12+E12*((B12-1)*B12/2)</f>
        <v/>
      </c>
    </row>
    <row r="13">
      <c r="A13" s="13" t="n">
        <v>10</v>
      </c>
      <c r="B13" s="13" t="n">
        <v>12</v>
      </c>
      <c r="C13" s="13" t="n">
        <v>11</v>
      </c>
      <c r="D13" s="13" t="n">
        <v>18811</v>
      </c>
      <c r="E13" s="13" t="n">
        <v>4703</v>
      </c>
      <c r="F13" s="13" t="n">
        <v>1</v>
      </c>
      <c r="G13" s="13" t="n">
        <v>4084</v>
      </c>
      <c r="H13" s="14">
        <f>B13*D13+E13*((B13-1)*B13/2)</f>
        <v/>
      </c>
    </row>
    <row r="14">
      <c r="A14" s="13" t="n">
        <v>11</v>
      </c>
      <c r="B14" s="13" t="n">
        <v>7</v>
      </c>
      <c r="C14" s="13" t="n">
        <v>12</v>
      </c>
      <c r="D14" s="13" t="n">
        <v>61335</v>
      </c>
      <c r="E14" s="13" t="n">
        <v>15334</v>
      </c>
      <c r="F14" s="13" t="n">
        <v>0</v>
      </c>
      <c r="G14" s="13" t="n">
        <v>3816</v>
      </c>
      <c r="H14" s="14">
        <f>B14*D14+E14*((B14-1)*B14/2)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6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6.5"/>
  <cols>
    <col width="20" customWidth="1" style="16" min="1" max="2"/>
    <col width="42" customWidth="1" style="16" min="3" max="3"/>
  </cols>
  <sheetData>
    <row r="1" ht="30" customHeight="1" s="16">
      <c r="A1" s="11" t="inlineStr">
        <is>
          <t>#설정 키</t>
        </is>
      </c>
      <c r="B1" s="11" t="inlineStr">
        <is>
          <t>값</t>
        </is>
      </c>
      <c r="C1" s="11" t="inlineStr">
        <is>
          <t>설명</t>
        </is>
      </c>
    </row>
    <row r="2" ht="17.25" customHeight="1" s="16">
      <c r="A2" s="12" t="inlineStr">
        <is>
          <t>key</t>
        </is>
      </c>
      <c r="B2" s="12" t="inlineStr">
        <is>
          <t>value</t>
        </is>
      </c>
      <c r="C2" s="12" t="inlineStr">
        <is>
          <t>note</t>
        </is>
      </c>
    </row>
    <row r="3">
      <c r="A3" s="13" t="inlineStr">
        <is>
          <t>moonDamage</t>
        </is>
      </c>
      <c r="B3" s="13" t="n">
        <v>5</v>
      </c>
      <c r="C3" s="13" t="inlineStr">
        <is>
          <t>달 자동공격 1회 데미지</t>
        </is>
      </c>
    </row>
    <row r="4">
      <c r="A4" s="13" t="inlineStr">
        <is>
          <t>moonInterval</t>
        </is>
      </c>
      <c r="B4" s="13" t="n">
        <v>1</v>
      </c>
      <c r="C4" s="13" t="inlineStr">
        <is>
          <t>달 자동공격 주기(초)</t>
        </is>
      </c>
    </row>
    <row r="5">
      <c r="A5" s="13" t="inlineStr">
        <is>
          <t>bossDuration</t>
        </is>
      </c>
      <c r="B5" s="13" t="n">
        <v>20</v>
      </c>
      <c r="C5" s="13" t="inlineStr">
        <is>
          <t>보스전 제한시간(초)</t>
        </is>
      </c>
    </row>
    <row r="6">
      <c r="A6" s="13" t="inlineStr">
        <is>
          <t>killsRequired</t>
        </is>
      </c>
      <c r="B6" s="13" t="n">
        <v>50</v>
      </c>
      <c r="C6" s="13" t="inlineStr">
        <is>
          <t>보스 도전에 필요한 일반 몬스터 처치 수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2026-07-15T06:23:06Z</dcterms:created>
  <dcterms:modified xsi:type="dcterms:W3CDTF">2026-07-16T03:08:04Z</dcterms:modified>
  <cp:lastModifiedBy>user</cp:lastModifiedBy>
</cp:coreProperties>
</file>