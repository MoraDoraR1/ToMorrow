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6"/>
    </font>
    <font>
      <name val="맑은 고딕"/>
      <charset val="129"/>
      <family val="3"/>
      <i val="1"/>
      <color rgb="FF808080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2"/>
    </font>
    <font>
      <name val="Consolas"/>
      <sz val="10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3" borderId="0" pivotButton="0" quotePrefix="0" xfId="0"/>
    <xf numFmtId="0" fontId="0" fillId="0" borderId="0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tabSelected="1" topLeftCell="A16" workbookViewId="0">
      <selection activeCell="A1" sqref="A1"/>
    </sheetView>
  </sheetViews>
  <sheetFormatPr baseColWidth="8" defaultRowHeight="16.5"/>
  <cols>
    <col width="3" customWidth="1" style="16" min="1" max="1"/>
    <col width="26" customWidth="1" style="16" min="2" max="2"/>
    <col width="30" customWidth="1" style="16" min="3" max="3"/>
    <col width="62" customWidth="1" style="16" min="4" max="4"/>
  </cols>
  <sheetData>
    <row r="1" ht="26.25" customHeight="1" s="16">
      <c r="B1" s="1" t="inlineStr">
        <is>
          <t>내일할래 — 밸런스 데이터 테이블</t>
        </is>
      </c>
    </row>
    <row r="2">
      <c r="B2" s="17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 ht="40.5" customHeight="1" s="1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n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15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 ht="17.25" customHeight="1" s="16">
      <c r="B13" s="7" t="inlineStr">
        <is>
          <t>시트</t>
        </is>
      </c>
      <c r="C13" s="7" t="inlineStr">
        <is>
          <t>내보낼 CSV 파일</t>
        </is>
      </c>
      <c r="D13" s="7" t="inlineStr">
        <is>
          <t>내용</t>
        </is>
      </c>
    </row>
    <row r="14">
      <c r="B14" s="8" t="inlineStr">
        <is>
          <t>Stage</t>
        </is>
      </c>
      <c r="C14" s="9" t="inlineStr">
        <is>
          <t>Stage.csv</t>
        </is>
      </c>
      <c r="D14" s="10" t="inlineStr">
        <is>
          <t>스테이지별 보스 체력 / 보스 처치 보상</t>
        </is>
      </c>
    </row>
    <row r="15">
      <c r="B15" s="8" t="inlineStr">
        <is>
          <t>Monster</t>
        </is>
      </c>
      <c r="C15" s="9" t="inlineStr">
        <is>
          <t>Monster.csv</t>
        </is>
      </c>
      <c r="D15" s="10" t="inlineStr">
        <is>
          <t>스테이지별 일반 몬스터 종류마다의 체력 / 처치 보상</t>
        </is>
      </c>
    </row>
    <row r="16">
      <c r="B16" s="8" t="inlineStr">
        <is>
          <t>Character</t>
        </is>
      </c>
      <c r="C16" s="9" t="inlineStr">
        <is>
          <t>Character.csv</t>
        </is>
      </c>
      <c r="D16" s="10" t="inlineStr">
        <is>
          <t>캐릭터 해금 비용, 터치(클릭) 공격력, 레벨업 비용</t>
        </is>
      </c>
    </row>
    <row r="17">
      <c r="B17" s="8" t="inlineStr">
        <is>
          <t>Story</t>
        </is>
      </c>
      <c r="C17" s="9" t="inlineStr">
        <is>
          <t>Story.csv</t>
        </is>
      </c>
      <c r="D17" s="10" t="inlineStr">
        <is>
          <t>캐릭터 이야기 구매 비용, 필요 레벨, 달 자동공격 영구 강화량</t>
        </is>
      </c>
    </row>
    <row r="18">
      <c r="B18" s="8" t="inlineStr">
        <is>
          <t>Constellation</t>
        </is>
      </c>
      <c r="C18" s="9" t="inlineStr">
        <is>
          <t>Constellation.csv</t>
        </is>
      </c>
      <c r="D18" s="10" t="inlineStr">
        <is>
          <t>별자리 구성 별 개수, 해금 스테이지, 별 구매 비용, 완성 효과</t>
        </is>
      </c>
    </row>
    <row r="19">
      <c r="B19" s="8" t="inlineStr">
        <is>
          <t>Balance</t>
        </is>
      </c>
      <c r="C19" s="9" t="inlineStr">
        <is>
          <t>Balance.csv</t>
        </is>
      </c>
      <c r="D19" s="10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n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n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 ht="27" customHeight="1" s="16">
      <c r="B27" s="5" t="inlineStr">
        <is>
          <t>이야기 해금</t>
        </is>
      </c>
      <c r="C27" s="5" t="n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n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n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n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n"/>
      <c r="D32" s="6" t="inlineStr">
        <is>
          <t>구성 별을 전부 사면 완성 → 효과 발동 + 배경에 별자리 리소스 배치</t>
        </is>
      </c>
    </row>
    <row r="33" ht="27" customHeight="1" s="16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17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 ht="27" customHeight="1" s="16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 ht="27" customHeight="1" s="16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 ht="27" customHeight="1" s="16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3"/>
  </cols>
  <sheetData>
    <row r="1" ht="30" customHeight="1" s="16">
      <c r="A1" s="11" t="inlineStr">
        <is>
          <t>#스테이지 번호</t>
        </is>
      </c>
      <c r="B1" s="11" t="inlineStr">
        <is>
          <t>보스 체력</t>
        </is>
      </c>
      <c r="C1" s="11" t="inlineStr">
        <is>
          <t>보스 처치 보상(꿈코인)</t>
        </is>
      </c>
    </row>
    <row r="2" ht="17.25" customHeight="1" s="16">
      <c r="A2" s="12" t="inlineStr">
        <is>
          <t>stage</t>
        </is>
      </c>
      <c r="B2" s="12" t="inlineStr">
        <is>
          <t>bossHp</t>
        </is>
      </c>
      <c r="C2" s="12" t="inlineStr">
        <is>
          <t>bossCoinReward</t>
        </is>
      </c>
    </row>
    <row r="3">
      <c r="A3" s="13" t="n">
        <v>0</v>
      </c>
      <c r="B3" s="13" t="n">
        <v>3335</v>
      </c>
      <c r="C3" s="13" t="n">
        <v>100</v>
      </c>
    </row>
    <row r="4">
      <c r="A4" s="13" t="n">
        <v>1</v>
      </c>
      <c r="B4" s="13" t="n">
        <v>3602</v>
      </c>
      <c r="C4" s="13" t="n">
        <v>300</v>
      </c>
    </row>
    <row r="5">
      <c r="A5" s="13" t="n">
        <v>2</v>
      </c>
      <c r="B5" s="13" t="n">
        <v>25228</v>
      </c>
      <c r="C5" s="13" t="n">
        <v>350</v>
      </c>
    </row>
    <row r="6">
      <c r="A6" s="13" t="n">
        <v>3</v>
      </c>
      <c r="B6" s="13" t="n">
        <v>73320</v>
      </c>
      <c r="C6" s="13" t="n">
        <v>1550</v>
      </c>
    </row>
    <row r="7">
      <c r="A7" s="13" t="n">
        <v>4</v>
      </c>
      <c r="B7" s="13" t="n">
        <v>250629</v>
      </c>
      <c r="C7" s="13" t="n">
        <v>4750</v>
      </c>
    </row>
    <row r="8">
      <c r="A8" s="13" t="n">
        <v>5</v>
      </c>
      <c r="B8" s="13" t="n">
        <v>821776</v>
      </c>
      <c r="C8" s="13" t="n">
        <v>17400</v>
      </c>
    </row>
    <row r="9">
      <c r="A9" s="13" t="n">
        <v>6</v>
      </c>
      <c r="B9" s="13" t="n">
        <v>590049</v>
      </c>
      <c r="C9" s="13" t="n">
        <v>61700</v>
      </c>
    </row>
    <row r="10">
      <c r="A10" s="13" t="n">
        <v>7</v>
      </c>
      <c r="B10" s="13" t="n">
        <v>1758449</v>
      </c>
      <c r="C10" s="13" t="n">
        <v>114250</v>
      </c>
    </row>
    <row r="11">
      <c r="A11" s="13" t="n">
        <v>8</v>
      </c>
      <c r="B11" s="13" t="n">
        <v>210988</v>
      </c>
      <c r="C11" s="13" t="n">
        <v>335650</v>
      </c>
    </row>
    <row r="12">
      <c r="A12" s="13" t="n">
        <v>9</v>
      </c>
      <c r="B12" s="13" t="n">
        <v>2802589</v>
      </c>
      <c r="C12" s="13" t="n">
        <v>461100</v>
      </c>
    </row>
    <row r="13">
      <c r="A13" s="13" t="n">
        <v>10</v>
      </c>
      <c r="B13" s="13" t="n">
        <v>4668293</v>
      </c>
      <c r="C13" s="13" t="n">
        <v>635750</v>
      </c>
    </row>
    <row r="14">
      <c r="A14" s="13" t="n">
        <v>11</v>
      </c>
      <c r="B14" s="13" t="n">
        <v>6598746</v>
      </c>
      <c r="C14" s="13" t="n">
        <v>755850</v>
      </c>
    </row>
    <row r="15">
      <c r="A15" s="13" t="n">
        <v>12</v>
      </c>
      <c r="B15" s="13" t="n">
        <v>11019739</v>
      </c>
      <c r="C15" s="13" t="n">
        <v>865800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4"/>
  </cols>
  <sheetData>
    <row r="1" ht="30" customHeight="1" s="16">
      <c r="A1" s="11" t="inlineStr">
        <is>
          <t>#스테이지 번호</t>
        </is>
      </c>
      <c r="B1" s="11" t="inlineStr">
        <is>
          <t>몬스터 순번</t>
        </is>
      </c>
      <c r="C1" s="11" t="inlineStr">
        <is>
          <t>몬스터 체력</t>
        </is>
      </c>
      <c r="D1" s="11" t="inlineStr">
        <is>
          <t>처치 보상(꿈코인)</t>
        </is>
      </c>
    </row>
    <row r="2" ht="17.25" customHeight="1" s="16">
      <c r="A2" s="12" t="inlineStr">
        <is>
          <t>stage</t>
        </is>
      </c>
      <c r="B2" s="12" t="inlineStr">
        <is>
          <t>index</t>
        </is>
      </c>
      <c r="C2" s="12" t="inlineStr">
        <is>
          <t>hp</t>
        </is>
      </c>
      <c r="D2" s="12" t="inlineStr">
        <is>
          <t>coinReward</t>
        </is>
      </c>
    </row>
    <row r="3">
      <c r="A3" s="13" t="n">
        <v>0</v>
      </c>
      <c r="B3" s="13" t="n">
        <v>0</v>
      </c>
      <c r="C3" s="13" t="n">
        <v>140</v>
      </c>
      <c r="D3" s="13" t="n">
        <v>2</v>
      </c>
    </row>
    <row r="4">
      <c r="A4" s="13" t="n">
        <v>0</v>
      </c>
      <c r="B4" s="13" t="n">
        <v>1</v>
      </c>
      <c r="C4" s="13" t="n">
        <v>165</v>
      </c>
      <c r="D4" s="13" t="n">
        <v>2</v>
      </c>
    </row>
    <row r="5">
      <c r="A5" s="13" t="n">
        <v>0</v>
      </c>
      <c r="B5" s="13" t="n">
        <v>2</v>
      </c>
      <c r="C5" s="13" t="n">
        <v>190</v>
      </c>
      <c r="D5" s="13" t="n">
        <v>2</v>
      </c>
    </row>
    <row r="6">
      <c r="A6" s="13" t="n">
        <v>1</v>
      </c>
      <c r="B6" s="13" t="n">
        <v>0</v>
      </c>
      <c r="C6" s="13" t="n">
        <v>468</v>
      </c>
      <c r="D6" s="13" t="n">
        <v>5</v>
      </c>
    </row>
    <row r="7">
      <c r="A7" s="13" t="n">
        <v>1</v>
      </c>
      <c r="B7" s="13" t="n">
        <v>1</v>
      </c>
      <c r="C7" s="13" t="n">
        <v>551</v>
      </c>
      <c r="D7" s="13" t="n">
        <v>6</v>
      </c>
    </row>
    <row r="8">
      <c r="A8" s="13" t="n">
        <v>1</v>
      </c>
      <c r="B8" s="13" t="n">
        <v>2</v>
      </c>
      <c r="C8" s="13" t="n">
        <v>634</v>
      </c>
      <c r="D8" s="13" t="n">
        <v>7</v>
      </c>
    </row>
    <row r="9">
      <c r="A9" s="13" t="n">
        <v>2</v>
      </c>
      <c r="B9" s="13" t="n">
        <v>0</v>
      </c>
      <c r="C9" s="13" t="n">
        <v>508</v>
      </c>
      <c r="D9" s="13" t="n">
        <v>6</v>
      </c>
    </row>
    <row r="10">
      <c r="A10" s="13" t="n">
        <v>2</v>
      </c>
      <c r="B10" s="13" t="n">
        <v>1</v>
      </c>
      <c r="C10" s="13" t="n">
        <v>598</v>
      </c>
      <c r="D10" s="13" t="n">
        <v>7</v>
      </c>
    </row>
    <row r="11">
      <c r="A11" s="13" t="n">
        <v>2</v>
      </c>
      <c r="B11" s="13" t="n">
        <v>2</v>
      </c>
      <c r="C11" s="13" t="n">
        <v>688</v>
      </c>
      <c r="D11" s="13" t="n">
        <v>8</v>
      </c>
    </row>
    <row r="12">
      <c r="A12" s="13" t="n">
        <v>3</v>
      </c>
      <c r="B12" s="13" t="n">
        <v>0</v>
      </c>
      <c r="C12" s="13" t="n">
        <v>2406</v>
      </c>
      <c r="D12" s="13" t="n">
        <v>26</v>
      </c>
    </row>
    <row r="13">
      <c r="A13" s="13" t="n">
        <v>3</v>
      </c>
      <c r="B13" s="13" t="n">
        <v>1</v>
      </c>
      <c r="C13" s="13" t="n">
        <v>2830</v>
      </c>
      <c r="D13" s="13" t="n">
        <v>31</v>
      </c>
    </row>
    <row r="14">
      <c r="A14" s="13" t="n">
        <v>3</v>
      </c>
      <c r="B14" s="13" t="n">
        <v>2</v>
      </c>
      <c r="C14" s="13" t="n">
        <v>3254</v>
      </c>
      <c r="D14" s="13" t="n">
        <v>36</v>
      </c>
    </row>
    <row r="15">
      <c r="A15" s="13" t="n">
        <v>4</v>
      </c>
      <c r="B15" s="13" t="n">
        <v>0</v>
      </c>
      <c r="C15" s="13" t="n">
        <v>7336</v>
      </c>
      <c r="D15" s="13" t="n">
        <v>81</v>
      </c>
    </row>
    <row r="16">
      <c r="A16" s="13" t="n">
        <v>4</v>
      </c>
      <c r="B16" s="13" t="n">
        <v>1</v>
      </c>
      <c r="C16" s="13" t="n">
        <v>8630</v>
      </c>
      <c r="D16" s="13" t="n">
        <v>95</v>
      </c>
    </row>
    <row r="17">
      <c r="A17" s="13" t="n">
        <v>4</v>
      </c>
      <c r="B17" s="13" t="n">
        <v>2</v>
      </c>
      <c r="C17" s="13" t="n">
        <v>9924</v>
      </c>
      <c r="D17" s="13" t="n">
        <v>109</v>
      </c>
    </row>
    <row r="18">
      <c r="A18" s="13" t="n">
        <v>5</v>
      </c>
      <c r="B18" s="13" t="n">
        <v>0</v>
      </c>
      <c r="C18" s="13" t="n">
        <v>26868</v>
      </c>
      <c r="D18" s="13" t="n">
        <v>296</v>
      </c>
    </row>
    <row r="19">
      <c r="A19" s="13" t="n">
        <v>5</v>
      </c>
      <c r="B19" s="13" t="n">
        <v>1</v>
      </c>
      <c r="C19" s="13" t="n">
        <v>31609</v>
      </c>
      <c r="D19" s="13" t="n">
        <v>348</v>
      </c>
    </row>
    <row r="20">
      <c r="A20" s="13" t="n">
        <v>5</v>
      </c>
      <c r="B20" s="13" t="n">
        <v>2</v>
      </c>
      <c r="C20" s="13" t="n">
        <v>36350</v>
      </c>
      <c r="D20" s="13" t="n">
        <v>400</v>
      </c>
    </row>
    <row r="21">
      <c r="A21" s="13" t="n">
        <v>6</v>
      </c>
      <c r="B21" s="13" t="n">
        <v>0</v>
      </c>
      <c r="C21" s="13" t="n">
        <v>95362</v>
      </c>
      <c r="D21" s="13" t="n">
        <v>1049</v>
      </c>
    </row>
    <row r="22">
      <c r="A22" s="13" t="n">
        <v>6</v>
      </c>
      <c r="B22" s="13" t="n">
        <v>1</v>
      </c>
      <c r="C22" s="13" t="n">
        <v>112190</v>
      </c>
      <c r="D22" s="13" t="n">
        <v>1234</v>
      </c>
    </row>
    <row r="23">
      <c r="A23" s="13" t="n">
        <v>6</v>
      </c>
      <c r="B23" s="13" t="n">
        <v>2</v>
      </c>
      <c r="C23" s="13" t="n">
        <v>129018</v>
      </c>
      <c r="D23" s="13" t="n">
        <v>1419</v>
      </c>
    </row>
    <row r="24">
      <c r="A24" s="13" t="n">
        <v>7</v>
      </c>
      <c r="B24" s="13" t="n">
        <v>0</v>
      </c>
      <c r="C24" s="13" t="n">
        <v>176582</v>
      </c>
      <c r="D24" s="13" t="n">
        <v>1942</v>
      </c>
    </row>
    <row r="25">
      <c r="A25" s="13" t="n">
        <v>7</v>
      </c>
      <c r="B25" s="13" t="n">
        <v>1</v>
      </c>
      <c r="C25" s="13" t="n">
        <v>207743</v>
      </c>
      <c r="D25" s="13" t="n">
        <v>2285</v>
      </c>
    </row>
    <row r="26">
      <c r="A26" s="13" t="n">
        <v>7</v>
      </c>
      <c r="B26" s="13" t="n">
        <v>2</v>
      </c>
      <c r="C26" s="13" t="n">
        <v>238904</v>
      </c>
      <c r="D26" s="13" t="n">
        <v>2628</v>
      </c>
    </row>
    <row r="27">
      <c r="A27" s="13" t="n">
        <v>8</v>
      </c>
      <c r="B27" s="13" t="n">
        <v>0</v>
      </c>
      <c r="C27" s="13" t="n">
        <v>518738</v>
      </c>
      <c r="D27" s="13" t="n">
        <v>5706</v>
      </c>
    </row>
    <row r="28">
      <c r="A28" s="13" t="n">
        <v>8</v>
      </c>
      <c r="B28" s="13" t="n">
        <v>1</v>
      </c>
      <c r="C28" s="13" t="n">
        <v>610280</v>
      </c>
      <c r="D28" s="13" t="n">
        <v>6713</v>
      </c>
    </row>
    <row r="29">
      <c r="A29" s="13" t="n">
        <v>8</v>
      </c>
      <c r="B29" s="13" t="n">
        <v>2</v>
      </c>
      <c r="C29" s="13" t="n">
        <v>701822</v>
      </c>
      <c r="D29" s="13" t="n">
        <v>7720</v>
      </c>
    </row>
    <row r="30">
      <c r="A30" s="13" t="n">
        <v>9</v>
      </c>
      <c r="B30" s="13" t="n">
        <v>0</v>
      </c>
      <c r="C30" s="13" t="n">
        <v>712608</v>
      </c>
      <c r="D30" s="13" t="n">
        <v>7839</v>
      </c>
    </row>
    <row r="31">
      <c r="A31" s="13" t="n">
        <v>9</v>
      </c>
      <c r="B31" s="13" t="n">
        <v>1</v>
      </c>
      <c r="C31" s="13" t="n">
        <v>838362</v>
      </c>
      <c r="D31" s="13" t="n">
        <v>9222</v>
      </c>
    </row>
    <row r="32">
      <c r="A32" s="13" t="n">
        <v>9</v>
      </c>
      <c r="B32" s="13" t="n">
        <v>2</v>
      </c>
      <c r="C32" s="13" t="n">
        <v>964116</v>
      </c>
      <c r="D32" s="13" t="n">
        <v>10605</v>
      </c>
    </row>
    <row r="33">
      <c r="A33" s="13" t="n">
        <v>10</v>
      </c>
      <c r="B33" s="13" t="n">
        <v>0</v>
      </c>
      <c r="C33" s="13" t="n">
        <v>982499</v>
      </c>
      <c r="D33" s="13" t="n">
        <v>10807</v>
      </c>
    </row>
    <row r="34">
      <c r="A34" s="13" t="n">
        <v>10</v>
      </c>
      <c r="B34" s="13" t="n">
        <v>1</v>
      </c>
      <c r="C34" s="13" t="n">
        <v>1155881</v>
      </c>
      <c r="D34" s="13" t="n">
        <v>12715</v>
      </c>
    </row>
    <row r="35">
      <c r="A35" s="13" t="n">
        <v>10</v>
      </c>
      <c r="B35" s="13" t="n">
        <v>2</v>
      </c>
      <c r="C35" s="13" t="n">
        <v>1329263</v>
      </c>
      <c r="D35" s="13" t="n">
        <v>14622</v>
      </c>
    </row>
    <row r="36">
      <c r="A36" s="13" t="n">
        <v>11</v>
      </c>
      <c r="B36" s="13" t="n">
        <v>0</v>
      </c>
      <c r="C36" s="13" t="n">
        <v>1168163</v>
      </c>
      <c r="D36" s="13" t="n">
        <v>12850</v>
      </c>
    </row>
    <row r="37">
      <c r="A37" s="13" t="n">
        <v>11</v>
      </c>
      <c r="B37" s="13" t="n">
        <v>1</v>
      </c>
      <c r="C37" s="13" t="n">
        <v>1374309</v>
      </c>
      <c r="D37" s="13" t="n">
        <v>15117</v>
      </c>
    </row>
    <row r="38">
      <c r="A38" s="13" t="n">
        <v>11</v>
      </c>
      <c r="B38" s="13" t="n">
        <v>2</v>
      </c>
      <c r="C38" s="13" t="n">
        <v>1580455</v>
      </c>
      <c r="D38" s="13" t="n">
        <v>17385</v>
      </c>
    </row>
    <row r="39">
      <c r="A39" s="13" t="n">
        <v>12</v>
      </c>
      <c r="B39" s="13" t="n">
        <v>0</v>
      </c>
      <c r="C39" s="13" t="n">
        <v>1338056</v>
      </c>
      <c r="D39" s="13" t="n">
        <v>14719</v>
      </c>
    </row>
    <row r="40">
      <c r="A40" s="13" t="n">
        <v>12</v>
      </c>
      <c r="B40" s="13" t="n">
        <v>1</v>
      </c>
      <c r="C40" s="13" t="n">
        <v>1574184</v>
      </c>
      <c r="D40" s="13" t="n">
        <v>17316</v>
      </c>
    </row>
    <row r="41">
      <c r="A41" s="13" t="n">
        <v>12</v>
      </c>
      <c r="B41" s="13" t="n">
        <v>2</v>
      </c>
      <c r="C41" s="13" t="n">
        <v>1810312</v>
      </c>
      <c r="D41" s="13" t="n">
        <v>19913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9"/>
  </cols>
  <sheetData>
    <row r="1" ht="30" customHeight="1" s="16">
      <c r="A1" s="11" t="inlineStr">
        <is>
          <t>#캐릭터 번호</t>
        </is>
      </c>
      <c r="B1" s="11" t="inlineStr">
        <is>
          <t>해금 비용(꿈코인)</t>
        </is>
      </c>
      <c r="C1" s="11" t="inlineStr">
        <is>
          <t>기본 데미지(LV1)</t>
        </is>
      </c>
      <c r="D1" s="11" t="inlineStr">
        <is>
          <t>레벨당 데미지 증가</t>
        </is>
      </c>
      <c r="E1" s="11" t="inlineStr">
        <is>
          <t>최대 레벨</t>
        </is>
      </c>
      <c r="F1" s="11" t="inlineStr">
        <is>
          <t>레벨업 기본 비용</t>
        </is>
      </c>
      <c r="G1" s="11" t="inlineStr">
        <is>
          <t>레벨업 비용 증가/레벨</t>
        </is>
      </c>
      <c r="H1" s="11" t="inlineStr">
        <is>
          <t>[참고] 최대레벨 데미지</t>
        </is>
      </c>
      <c r="I1" s="11" t="inlineStr">
        <is>
          <t>[참고] 만렙까지 총 강화비용</t>
        </is>
      </c>
    </row>
    <row r="2" ht="17.25" customHeight="1" s="16">
      <c r="A2" s="12" t="inlineStr">
        <is>
          <t>index</t>
        </is>
      </c>
      <c r="B2" s="12" t="inlineStr">
        <is>
          <t>unlockCost</t>
        </is>
      </c>
      <c r="C2" s="12" t="inlineStr">
        <is>
          <t>baseDamage</t>
        </is>
      </c>
      <c r="D2" s="12" t="inlineStr">
        <is>
          <t>damagePerLevel</t>
        </is>
      </c>
      <c r="E2" s="12" t="inlineStr">
        <is>
          <t>maxLevel</t>
        </is>
      </c>
      <c r="F2" s="12" t="inlineStr">
        <is>
          <t>levelUpBaseCost</t>
        </is>
      </c>
      <c r="G2" s="12" t="inlineStr">
        <is>
          <t>levelUpCostPerLevel</t>
        </is>
      </c>
      <c r="H2" s="12" t="inlineStr">
        <is>
          <t>previewMaxDamage</t>
        </is>
      </c>
      <c r="I2" s="12" t="inlineStr">
        <is>
          <t>previewTotalCost</t>
        </is>
      </c>
    </row>
    <row r="3">
      <c r="A3" s="13" t="n">
        <v>0</v>
      </c>
      <c r="B3" s="13" t="n">
        <v>0</v>
      </c>
      <c r="C3" s="13" t="n">
        <v>10</v>
      </c>
      <c r="D3" s="13" t="n">
        <v>3</v>
      </c>
      <c r="E3" s="13" t="n">
        <v>300</v>
      </c>
      <c r="F3" s="13" t="n">
        <v>50</v>
      </c>
      <c r="G3" s="13" t="n">
        <v>5</v>
      </c>
      <c r="H3" s="14">
        <f>C3+(E3-1)*D3</f>
        <v/>
      </c>
      <c r="I3" s="14">
        <f>(E3-1)*F3+G3*((E3-2)*(E3-1)/2)</f>
        <v/>
      </c>
    </row>
    <row r="4">
      <c r="A4" s="13" t="n">
        <v>1</v>
      </c>
      <c r="B4" s="13" t="n">
        <v>800</v>
      </c>
      <c r="C4" s="13" t="n">
        <v>16</v>
      </c>
      <c r="D4" s="13" t="n">
        <v>5</v>
      </c>
      <c r="E4" s="13" t="n">
        <v>300</v>
      </c>
      <c r="F4" s="13" t="n">
        <v>80</v>
      </c>
      <c r="G4" s="13" t="n">
        <v>8</v>
      </c>
      <c r="H4" s="14">
        <f>C4+(E4-1)*D4</f>
        <v/>
      </c>
      <c r="I4" s="14">
        <f>(E4-1)*F4+G4*((E4-2)*(E4-1)/2)</f>
        <v/>
      </c>
    </row>
    <row r="5">
      <c r="A5" s="13" t="n">
        <v>2</v>
      </c>
      <c r="B5" s="13" t="n">
        <v>1280</v>
      </c>
      <c r="C5" s="13" t="n">
        <v>26</v>
      </c>
      <c r="D5" s="13" t="n">
        <v>8</v>
      </c>
      <c r="E5" s="13" t="n">
        <v>300</v>
      </c>
      <c r="F5" s="13" t="n">
        <v>128</v>
      </c>
      <c r="G5" s="13" t="n">
        <v>13</v>
      </c>
      <c r="H5" s="14">
        <f>C5+(E5-1)*D5</f>
        <v/>
      </c>
      <c r="I5" s="14">
        <f>(E5-1)*F5+G5*((E5-2)*(E5-1)/2)</f>
        <v/>
      </c>
    </row>
    <row r="6">
      <c r="A6" s="13" t="n">
        <v>3</v>
      </c>
      <c r="B6" s="13" t="n">
        <v>2048</v>
      </c>
      <c r="C6" s="13" t="n">
        <v>41</v>
      </c>
      <c r="D6" s="13" t="n">
        <v>12</v>
      </c>
      <c r="E6" s="13" t="n">
        <v>300</v>
      </c>
      <c r="F6" s="13" t="n">
        <v>205</v>
      </c>
      <c r="G6" s="13" t="n">
        <v>20</v>
      </c>
      <c r="H6">
        <f>C6+(E6-1)*D6</f>
        <v/>
      </c>
      <c r="I6">
        <f>(E6-1)*F6+G6*((E6-2)*(E6-1)/2)</f>
        <v/>
      </c>
    </row>
    <row r="7">
      <c r="A7" s="13" t="n">
        <v>4</v>
      </c>
      <c r="B7" s="13" t="n">
        <v>3277</v>
      </c>
      <c r="C7" s="13" t="n">
        <v>66</v>
      </c>
      <c r="D7" s="13" t="n">
        <v>20</v>
      </c>
      <c r="E7" s="13" t="n">
        <v>300</v>
      </c>
      <c r="F7" s="13" t="n">
        <v>328</v>
      </c>
      <c r="G7" s="13" t="n">
        <v>33</v>
      </c>
      <c r="H7">
        <f>C7+(E7-1)*D7</f>
        <v/>
      </c>
      <c r="I7">
        <f>(E7-1)*F7+G7*((E7-2)*(E7-1)/2)</f>
        <v/>
      </c>
    </row>
    <row r="8">
      <c r="A8" s="13" t="n">
        <v>5</v>
      </c>
      <c r="B8" s="13" t="n">
        <v>5243</v>
      </c>
      <c r="C8" s="13" t="n">
        <v>105</v>
      </c>
      <c r="D8" s="13" t="n">
        <v>31</v>
      </c>
      <c r="E8" s="13" t="n">
        <v>300</v>
      </c>
      <c r="F8" s="13" t="n">
        <v>524</v>
      </c>
      <c r="G8" s="13" t="n">
        <v>52</v>
      </c>
      <c r="H8">
        <f>C8+(E8-1)*D8</f>
        <v/>
      </c>
      <c r="I8">
        <f>(E8-1)*F8+G8*((E8-2)*(E8-1)/2)</f>
        <v/>
      </c>
    </row>
    <row r="9">
      <c r="A9" s="13" t="n">
        <v>6</v>
      </c>
      <c r="B9" s="13" t="n">
        <v>8389</v>
      </c>
      <c r="C9" s="13" t="n">
        <v>168</v>
      </c>
      <c r="D9" s="13" t="n">
        <v>50</v>
      </c>
      <c r="E9" s="13" t="n">
        <v>300</v>
      </c>
      <c r="F9" s="13" t="n">
        <v>839</v>
      </c>
      <c r="G9" s="13" t="n">
        <v>84</v>
      </c>
      <c r="H9">
        <f>C9+(E9-1)*D9</f>
        <v/>
      </c>
      <c r="I9">
        <f>(E9-1)*F9+G9*((E9-2)*(E9-1)/2)</f>
        <v/>
      </c>
    </row>
    <row r="10">
      <c r="A10" s="13" t="n">
        <v>7</v>
      </c>
      <c r="B10" s="13" t="n">
        <v>13422</v>
      </c>
      <c r="C10" s="13" t="n">
        <v>268</v>
      </c>
      <c r="D10" s="13" t="n">
        <v>81</v>
      </c>
      <c r="E10" s="13" t="n">
        <v>300</v>
      </c>
      <c r="F10" s="13" t="n">
        <v>1342</v>
      </c>
      <c r="G10" s="13" t="n">
        <v>134</v>
      </c>
      <c r="H10">
        <f>C10+(E10-1)*D10</f>
        <v/>
      </c>
      <c r="I10">
        <f>(E10-1)*F10+G10*((E10-2)*(E10-1)/2)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6"/>
  </cols>
  <sheetData>
    <row r="1" ht="30" customHeight="1" s="16">
      <c r="A1" s="11" t="inlineStr">
        <is>
          <t>#이야기 번호</t>
        </is>
      </c>
      <c r="B1" s="11" t="inlineStr">
        <is>
          <t>캐릭터 번호</t>
        </is>
      </c>
      <c r="C1" s="11" t="inlineStr">
        <is>
          <t>필요 레벨</t>
        </is>
      </c>
      <c r="D1" s="11" t="inlineStr">
        <is>
          <t>구매 비용(꿈코인)</t>
        </is>
      </c>
      <c r="E1" s="11" t="inlineStr">
        <is>
          <t>달 데미지 증가</t>
        </is>
      </c>
      <c r="F1" s="11" t="inlineStr">
        <is>
          <t>달 주기 감소(초)</t>
        </is>
      </c>
      <c r="G1" s="11" t="inlineStr">
        <is>
          <t>달 치명타 확률 증가</t>
        </is>
      </c>
      <c r="H1" s="11" t="inlineStr">
        <is>
          <t>달 치명타 피해 증가</t>
        </is>
      </c>
    </row>
    <row r="2" ht="17.25" customHeight="1" s="16">
      <c r="A2" s="12" t="inlineStr">
        <is>
          <t>index</t>
        </is>
      </c>
      <c r="B2" s="12" t="inlineStr">
        <is>
          <t>characterIndex</t>
        </is>
      </c>
      <c r="C2" s="12" t="inlineStr">
        <is>
          <t>requiredLevel</t>
        </is>
      </c>
      <c r="D2" s="12" t="inlineStr">
        <is>
          <t>cost</t>
        </is>
      </c>
      <c r="E2" s="12" t="inlineStr">
        <is>
          <t>moonDamageBonus</t>
        </is>
      </c>
      <c r="F2" s="12" t="inlineStr">
        <is>
          <t>moonIntervalReduction</t>
        </is>
      </c>
      <c r="G2" s="12" t="inlineStr">
        <is>
          <t>moonCritChanceBonus</t>
        </is>
      </c>
      <c r="H2" s="12" t="inlineStr">
        <is>
          <t>moonCritDamageBonus</t>
        </is>
      </c>
    </row>
    <row r="3">
      <c r="A3" s="13" t="n">
        <v>0</v>
      </c>
      <c r="B3" s="13" t="n">
        <v>0</v>
      </c>
      <c r="C3" s="13" t="n">
        <v>10</v>
      </c>
      <c r="D3" s="13" t="n">
        <v>1800</v>
      </c>
      <c r="E3" s="13" t="n">
        <v>300</v>
      </c>
      <c r="F3" s="13" t="n">
        <v>0.06</v>
      </c>
      <c r="G3" s="13" t="n">
        <v>0.01</v>
      </c>
      <c r="H3" s="13" t="n">
        <v>0.04</v>
      </c>
    </row>
    <row r="4">
      <c r="A4" s="13" t="n">
        <v>1</v>
      </c>
      <c r="B4" s="13" t="n">
        <v>1</v>
      </c>
      <c r="C4" s="13" t="n">
        <v>20</v>
      </c>
      <c r="D4" s="13" t="n">
        <v>2880</v>
      </c>
      <c r="E4" s="13" t="n">
        <v>480</v>
      </c>
      <c r="F4" s="13" t="n">
        <v>0.06</v>
      </c>
      <c r="G4" s="13" t="n">
        <v>0.015</v>
      </c>
      <c r="H4" s="13" t="n">
        <v>0.06</v>
      </c>
    </row>
    <row r="5">
      <c r="A5" s="13" t="n">
        <v>2</v>
      </c>
      <c r="B5" s="13" t="n">
        <v>2</v>
      </c>
      <c r="C5" s="13" t="n">
        <v>30</v>
      </c>
      <c r="D5" s="13" t="n">
        <v>4608</v>
      </c>
      <c r="E5" s="13" t="n">
        <v>768</v>
      </c>
      <c r="F5" s="13" t="n">
        <v>0.06</v>
      </c>
      <c r="G5" s="13" t="n">
        <v>0.02</v>
      </c>
      <c r="H5" s="13" t="n">
        <v>0.08</v>
      </c>
    </row>
    <row r="6">
      <c r="A6" s="13" t="n">
        <v>3</v>
      </c>
      <c r="B6" s="13" t="n">
        <v>3</v>
      </c>
      <c r="C6" s="13" t="n">
        <v>40</v>
      </c>
      <c r="D6" s="13" t="n">
        <v>7373</v>
      </c>
      <c r="E6" s="13" t="n">
        <v>1229</v>
      </c>
      <c r="F6" s="13" t="n">
        <v>0.06</v>
      </c>
      <c r="G6" s="13" t="n">
        <v>0.025</v>
      </c>
      <c r="H6" s="13" t="n">
        <v>0.1</v>
      </c>
    </row>
    <row r="7">
      <c r="A7" s="13" t="n">
        <v>4</v>
      </c>
      <c r="B7" s="13" t="n">
        <v>4</v>
      </c>
      <c r="C7" s="13" t="n">
        <v>50</v>
      </c>
      <c r="D7" s="13" t="n">
        <v>11796</v>
      </c>
      <c r="E7" s="13" t="n">
        <v>1966</v>
      </c>
      <c r="F7" s="13" t="n">
        <v>0.06</v>
      </c>
      <c r="G7" s="13" t="n">
        <v>0.03</v>
      </c>
      <c r="H7" s="13" t="n">
        <v>0.12</v>
      </c>
    </row>
    <row r="8">
      <c r="A8" s="13" t="n">
        <v>5</v>
      </c>
      <c r="B8" s="13" t="n">
        <v>5</v>
      </c>
      <c r="C8" s="13" t="n">
        <v>60</v>
      </c>
      <c r="D8" s="13" t="n">
        <v>18874</v>
      </c>
      <c r="E8" s="13" t="n">
        <v>3146</v>
      </c>
      <c r="F8" s="13" t="n">
        <v>0.06</v>
      </c>
      <c r="G8" s="13" t="n">
        <v>0.035</v>
      </c>
      <c r="H8" s="13" t="n">
        <v>0.14</v>
      </c>
    </row>
    <row r="9">
      <c r="A9" s="13" t="n">
        <v>6</v>
      </c>
      <c r="B9" s="13" t="n">
        <v>6</v>
      </c>
      <c r="C9" s="13" t="n">
        <v>70</v>
      </c>
      <c r="D9" s="13" t="n">
        <v>30199</v>
      </c>
      <c r="E9" s="13" t="n">
        <v>5033</v>
      </c>
      <c r="F9" s="13" t="n">
        <v>0.06</v>
      </c>
      <c r="G9" s="13" t="n">
        <v>0.04</v>
      </c>
      <c r="H9" s="13" t="n">
        <v>0.16</v>
      </c>
    </row>
    <row r="10">
      <c r="A10" s="13" t="n">
        <v>7</v>
      </c>
      <c r="B10" s="13" t="n">
        <v>7</v>
      </c>
      <c r="C10" s="13" t="n">
        <v>80</v>
      </c>
      <c r="D10" s="13" t="n">
        <v>48318</v>
      </c>
      <c r="E10" s="13" t="n">
        <v>8053</v>
      </c>
      <c r="F10" s="13" t="n">
        <v>0.06</v>
      </c>
      <c r="G10" s="13" t="n">
        <v>0.045</v>
      </c>
      <c r="H10" s="13" t="n">
        <v>0.18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8"/>
  </cols>
  <sheetData>
    <row r="1" ht="30" customHeight="1" s="16">
      <c r="A1" s="11" t="inlineStr">
        <is>
          <t>#별자리 번호</t>
        </is>
      </c>
      <c r="B1" s="11" t="inlineStr">
        <is>
          <t>구성 별 개수</t>
        </is>
      </c>
      <c r="C1" s="11" t="inlineStr">
        <is>
          <t>해금 스테이지</t>
        </is>
      </c>
      <c r="D1" s="11" t="inlineStr">
        <is>
          <t>별 첫 구매 비용</t>
        </is>
      </c>
      <c r="E1" s="11" t="inlineStr">
        <is>
          <t>별 비용 증가</t>
        </is>
      </c>
      <c r="F1" s="11" t="inlineStr">
        <is>
          <t>효과 종류(0클릭/1달뎀/2달속도/3코인/4치명확률/5치명피해)</t>
        </is>
      </c>
      <c r="G1" s="11" t="inlineStr">
        <is>
          <t>효과 수치</t>
        </is>
      </c>
      <c r="H1" s="11" t="inlineStr">
        <is>
          <t>[참고] 완성까지 총 비용</t>
        </is>
      </c>
    </row>
    <row r="2" ht="17.25" customHeight="1" s="16">
      <c r="A2" s="12" t="inlineStr">
        <is>
          <t>index</t>
        </is>
      </c>
      <c r="B2" s="12" t="inlineStr">
        <is>
          <t>starCount</t>
        </is>
      </c>
      <c r="C2" s="12" t="inlineStr">
        <is>
          <t>unlockStage</t>
        </is>
      </c>
      <c r="D2" s="12" t="inlineStr">
        <is>
          <t>starBaseCost</t>
        </is>
      </c>
      <c r="E2" s="12" t="inlineStr">
        <is>
          <t>starCostIncrease</t>
        </is>
      </c>
      <c r="F2" s="12" t="inlineStr">
        <is>
          <t>effectType</t>
        </is>
      </c>
      <c r="G2" s="12" t="inlineStr">
        <is>
          <t>effectValue</t>
        </is>
      </c>
      <c r="H2" s="12" t="inlineStr">
        <is>
          <t>previewTotalCost</t>
        </is>
      </c>
    </row>
    <row r="3">
      <c r="A3" s="13" t="n">
        <v>0</v>
      </c>
      <c r="B3" s="13" t="n">
        <v>5</v>
      </c>
      <c r="C3" s="13" t="n">
        <v>1</v>
      </c>
      <c r="D3" s="13" t="n">
        <v>120</v>
      </c>
      <c r="E3" s="13" t="n">
        <v>30</v>
      </c>
      <c r="F3" s="13" t="n">
        <v>0</v>
      </c>
      <c r="G3" s="13" t="n">
        <v>3</v>
      </c>
      <c r="H3" s="14">
        <f>B3*D3+E3*((B3-1)*B3/2)</f>
        <v/>
      </c>
    </row>
    <row r="4">
      <c r="A4" s="13" t="n">
        <v>1</v>
      </c>
      <c r="B4" s="13" t="n">
        <v>10</v>
      </c>
      <c r="C4" s="13" t="n">
        <v>2</v>
      </c>
      <c r="D4" s="13" t="n">
        <v>50</v>
      </c>
      <c r="E4" s="13" t="n">
        <v>12</v>
      </c>
      <c r="F4" s="13" t="n">
        <v>3</v>
      </c>
      <c r="G4" s="13" t="n">
        <v>0.1</v>
      </c>
      <c r="H4" s="14">
        <f>B4*D4+E4*((B4-1)*B4/2)</f>
        <v/>
      </c>
    </row>
    <row r="5">
      <c r="A5" s="13" t="n">
        <v>2</v>
      </c>
      <c r="B5" s="13" t="n">
        <v>6</v>
      </c>
      <c r="C5" s="13" t="n">
        <v>3</v>
      </c>
      <c r="D5" s="13" t="n">
        <v>477</v>
      </c>
      <c r="E5" s="13" t="n">
        <v>119</v>
      </c>
      <c r="F5" s="13" t="n">
        <v>1</v>
      </c>
      <c r="G5" s="13" t="n">
        <v>23</v>
      </c>
      <c r="H5" s="14">
        <f>B5*D5+E5*((B5-1)*B5/2)</f>
        <v/>
      </c>
    </row>
    <row r="6">
      <c r="A6" s="13" t="n">
        <v>3</v>
      </c>
      <c r="B6" s="13" t="n">
        <v>4</v>
      </c>
      <c r="C6" s="13" t="n">
        <v>4</v>
      </c>
      <c r="D6" s="13" t="n">
        <v>2591</v>
      </c>
      <c r="E6" s="13" t="n">
        <v>648</v>
      </c>
      <c r="F6" s="13" t="n">
        <v>4</v>
      </c>
      <c r="G6" s="13" t="n">
        <v>0.03</v>
      </c>
      <c r="H6" s="14">
        <f>B6*D6+E6*((B6-1)*B6/2)</f>
        <v/>
      </c>
    </row>
    <row r="7">
      <c r="A7" s="13" t="n">
        <v>4</v>
      </c>
      <c r="B7" s="13" t="n">
        <v>9</v>
      </c>
      <c r="C7" s="13" t="n">
        <v>5</v>
      </c>
      <c r="D7" s="13" t="n">
        <v>2900</v>
      </c>
      <c r="E7" s="13" t="n">
        <v>725</v>
      </c>
      <c r="F7" s="13" t="n">
        <v>2</v>
      </c>
      <c r="G7" s="13" t="n">
        <v>0.13</v>
      </c>
      <c r="H7" s="14">
        <f>B7*D7+E7*((B7-1)*B7/2)</f>
        <v/>
      </c>
    </row>
    <row r="8">
      <c r="A8" s="13" t="n">
        <v>5</v>
      </c>
      <c r="B8" s="13" t="n">
        <v>8</v>
      </c>
      <c r="C8" s="13" t="n">
        <v>6</v>
      </c>
      <c r="D8" s="13" t="n">
        <v>12340</v>
      </c>
      <c r="E8" s="13" t="n">
        <v>3085</v>
      </c>
      <c r="F8" s="13" t="n">
        <v>3</v>
      </c>
      <c r="G8" s="13" t="n">
        <v>0.15</v>
      </c>
      <c r="H8" s="14">
        <f>B8*D8+E8*((B8-1)*B8/2)</f>
        <v/>
      </c>
    </row>
    <row r="9">
      <c r="A9" s="13" t="n">
        <v>6</v>
      </c>
      <c r="B9" s="13" t="n">
        <v>5</v>
      </c>
      <c r="C9" s="13" t="n">
        <v>7</v>
      </c>
      <c r="D9" s="13" t="n">
        <v>45700</v>
      </c>
      <c r="E9" s="13" t="n">
        <v>11425</v>
      </c>
      <c r="F9" s="13" t="n">
        <v>1</v>
      </c>
      <c r="G9" s="13" t="n">
        <v>1662</v>
      </c>
      <c r="H9" s="14">
        <f>B9*D9+E9*((B9-1)*B9/2)</f>
        <v/>
      </c>
    </row>
    <row r="10">
      <c r="A10" s="13" t="n">
        <v>7</v>
      </c>
      <c r="B10" s="13" t="n">
        <v>9</v>
      </c>
      <c r="C10" s="13" t="n">
        <v>8</v>
      </c>
      <c r="D10" s="13" t="n">
        <v>55942</v>
      </c>
      <c r="E10" s="13" t="n">
        <v>13985</v>
      </c>
      <c r="F10" s="13" t="n">
        <v>5</v>
      </c>
      <c r="G10" s="13" t="n">
        <v>0.3</v>
      </c>
      <c r="H10" s="14">
        <f>B10*D10+E10*((B10-1)*B10/2)</f>
        <v/>
      </c>
    </row>
    <row r="11">
      <c r="A11" s="13" t="n">
        <v>8</v>
      </c>
      <c r="B11" s="13" t="n">
        <v>9</v>
      </c>
      <c r="C11" s="13" t="n">
        <v>9</v>
      </c>
      <c r="D11" s="13" t="n">
        <v>76850</v>
      </c>
      <c r="E11" s="13" t="n">
        <v>19212</v>
      </c>
      <c r="F11" s="13" t="n">
        <v>2</v>
      </c>
      <c r="G11" s="13" t="n">
        <v>0.13</v>
      </c>
      <c r="H11" s="14">
        <f>B11*D11+E11*((B11-1)*B11/2)</f>
        <v/>
      </c>
    </row>
    <row r="12">
      <c r="A12" s="13" t="n">
        <v>9</v>
      </c>
      <c r="B12" s="13" t="n">
        <v>4</v>
      </c>
      <c r="C12" s="13" t="n">
        <v>10</v>
      </c>
      <c r="D12" s="13" t="n">
        <v>346773</v>
      </c>
      <c r="E12" s="13" t="n">
        <v>86693</v>
      </c>
      <c r="F12" s="13" t="n">
        <v>3</v>
      </c>
      <c r="G12" s="13" t="n">
        <v>0.2</v>
      </c>
      <c r="H12" s="14">
        <f>B12*D12+E12*((B12-1)*B12/2)</f>
        <v/>
      </c>
    </row>
    <row r="13">
      <c r="A13" s="13" t="n">
        <v>10</v>
      </c>
      <c r="B13" s="13" t="n">
        <v>12</v>
      </c>
      <c r="C13" s="13" t="n">
        <v>11</v>
      </c>
      <c r="D13" s="13" t="n">
        <v>79563</v>
      </c>
      <c r="E13" s="13" t="n">
        <v>19891</v>
      </c>
      <c r="F13" s="13" t="n">
        <v>4</v>
      </c>
      <c r="G13" s="13" t="n">
        <v>0.05</v>
      </c>
      <c r="H13" s="14">
        <f>B13*D13+E13*((B13-1)*B13/2)</f>
        <v/>
      </c>
    </row>
    <row r="14">
      <c r="A14" s="13" t="n">
        <v>11</v>
      </c>
      <c r="B14" s="13" t="n">
        <v>7</v>
      </c>
      <c r="C14" s="13" t="n">
        <v>12</v>
      </c>
      <c r="D14" s="13" t="n">
        <v>212033</v>
      </c>
      <c r="E14" s="13" t="n">
        <v>53008</v>
      </c>
      <c r="F14" s="13" t="n">
        <v>0</v>
      </c>
      <c r="G14" s="13" t="n">
        <v>8396</v>
      </c>
      <c r="H14" s="14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6.5"/>
  <cols>
    <col width="20" customWidth="1" style="16" min="1" max="2"/>
    <col width="42" customWidth="1" style="16" min="3" max="3"/>
  </cols>
  <sheetData>
    <row r="1" ht="30" customHeight="1" s="16">
      <c r="A1" s="11" t="inlineStr">
        <is>
          <t>#설정 키</t>
        </is>
      </c>
      <c r="B1" s="11" t="inlineStr">
        <is>
          <t>값</t>
        </is>
      </c>
      <c r="C1" s="11" t="inlineStr">
        <is>
          <t>설명</t>
        </is>
      </c>
    </row>
    <row r="2" ht="17.25" customHeight="1" s="16">
      <c r="A2" s="12" t="inlineStr">
        <is>
          <t>key</t>
        </is>
      </c>
      <c r="B2" s="12" t="inlineStr">
        <is>
          <t>value</t>
        </is>
      </c>
      <c r="C2" s="12" t="inlineStr">
        <is>
          <t>note</t>
        </is>
      </c>
    </row>
    <row r="3">
      <c r="A3" s="13" t="inlineStr">
        <is>
          <t>moonDamage</t>
        </is>
      </c>
      <c r="B3" s="13" t="n">
        <v>5</v>
      </c>
      <c r="C3" s="13" t="inlineStr">
        <is>
          <t>달 자동공격 1회 데미지</t>
        </is>
      </c>
    </row>
    <row r="4">
      <c r="A4" s="13" t="inlineStr">
        <is>
          <t>moonInterval</t>
        </is>
      </c>
      <c r="B4" s="13" t="n">
        <v>1</v>
      </c>
      <c r="C4" s="13" t="inlineStr">
        <is>
          <t>달 자동공격 주기(초)</t>
        </is>
      </c>
    </row>
    <row r="5">
      <c r="A5" s="13" t="inlineStr">
        <is>
          <t>bossDuration</t>
        </is>
      </c>
      <c r="B5" s="13" t="n">
        <v>20</v>
      </c>
      <c r="C5" s="13" t="inlineStr">
        <is>
          <t>보스전 제한시간(초)</t>
        </is>
      </c>
    </row>
    <row r="6">
      <c r="A6" s="13" t="inlineStr">
        <is>
          <t>killsRequired</t>
        </is>
      </c>
      <c r="B6" s="13" t="n">
        <v>50</v>
      </c>
      <c r="C6" s="13" t="inlineStr">
        <is>
          <t>보스 도전에 필요한 일반 몬스터 처치 수</t>
        </is>
      </c>
    </row>
    <row r="7">
      <c r="A7" s="13" t="inlineStr">
        <is>
          <t>offlineRate</t>
        </is>
      </c>
      <c r="B7" s="13" t="n">
        <v>0.05</v>
      </c>
      <c r="C7" s="13" t="inlineStr">
        <is>
          <t>오프라인 초당 지급 배율 (현재 스테이지 몬스터 평균 보상 x 이 값 x 초)</t>
        </is>
      </c>
    </row>
    <row r="8">
      <c r="A8" s="13" t="inlineStr">
        <is>
          <t>offlineMaxHours</t>
        </is>
      </c>
      <c r="B8" s="13" t="n">
        <v>2</v>
      </c>
      <c r="C8" s="13" t="inlineStr">
        <is>
          <t>오프라인 보상 최대 인정 시간(시간). 더 꺼둬도 이 이상은 안 쌓임</t>
        </is>
      </c>
    </row>
    <row r="9">
      <c r="A9" s="13" t="inlineStr">
        <is>
          <t>critChance</t>
        </is>
      </c>
      <c r="B9" s="13" t="n">
        <v>0.05</v>
      </c>
      <c r="C9" s="13" t="inlineStr">
        <is>
          <t>기본 치명타 확률 (0.05 = 5%). 클릭·달 공통</t>
        </is>
      </c>
    </row>
    <row r="10">
      <c r="A10" s="13" t="inlineStr">
        <is>
          <t>critMultiplier</t>
        </is>
      </c>
      <c r="B10" s="13" t="n">
        <v>2</v>
      </c>
      <c r="C10" s="13" t="inlineStr">
        <is>
          <t>기본 치명타 피해 배율 (2 = 200%). 클릭·달 공통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2026-07-16T08:14:13Z</dcterms:modified>
  <cp:lastModifiedBy>user</cp:lastModifiedBy>
</cp:coreProperties>
</file>